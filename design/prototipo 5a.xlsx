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var\Desktop\5a\"/>
    </mc:Choice>
  </mc:AlternateContent>
  <xr:revisionPtr revIDLastSave="0" documentId="13_ncr:1_{021C695E-E5B8-47B6-90B4-AF0AD397962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RIANGULO" sheetId="1" r:id="rId1"/>
    <sheet name="X^2" sheetId="2" r:id="rId2"/>
    <sheet name="1 ENTRE X" sheetId="3" r:id="rId3"/>
    <sheet name="t-stud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bJyrg9PFNA3x70ZX5UXuXA75yagFOLRRHBTIoMsaGo="/>
    </ext>
  </extLst>
</workbook>
</file>

<file path=xl/calcChain.xml><?xml version="1.0" encoding="utf-8"?>
<calcChain xmlns="http://schemas.openxmlformats.org/spreadsheetml/2006/main">
  <c r="E56" i="4" l="1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E37" i="4"/>
  <c r="A37" i="4"/>
  <c r="E36" i="4"/>
  <c r="C36" i="4"/>
  <c r="D33" i="4"/>
  <c r="E32" i="4"/>
  <c r="C32" i="4"/>
  <c r="B37" i="4" s="1"/>
  <c r="E19" i="4"/>
  <c r="E18" i="4"/>
  <c r="E17" i="4"/>
  <c r="E16" i="4"/>
  <c r="E15" i="4"/>
  <c r="E14" i="4"/>
  <c r="E13" i="4"/>
  <c r="E12" i="4"/>
  <c r="E11" i="4"/>
  <c r="A11" i="4"/>
  <c r="A12" i="4" s="1"/>
  <c r="A13" i="4" s="1"/>
  <c r="A14" i="4" s="1"/>
  <c r="A15" i="4" s="1"/>
  <c r="A16" i="4" s="1"/>
  <c r="A17" i="4" s="1"/>
  <c r="A18" i="4" s="1"/>
  <c r="A19" i="4" s="1"/>
  <c r="E10" i="4"/>
  <c r="A10" i="4"/>
  <c r="E9" i="4"/>
  <c r="C9" i="4"/>
  <c r="D9" i="4" s="1"/>
  <c r="D6" i="4"/>
  <c r="E5" i="4"/>
  <c r="C5" i="4"/>
  <c r="B10" i="4" s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E31" i="3"/>
  <c r="C31" i="3"/>
  <c r="F31" i="3" s="1"/>
  <c r="F27" i="3"/>
  <c r="C27" i="3"/>
  <c r="B32" i="3" s="1"/>
  <c r="E20" i="3"/>
  <c r="B10" i="3"/>
  <c r="B11" i="3" s="1"/>
  <c r="F9" i="3"/>
  <c r="C9" i="3"/>
  <c r="E9" i="3" s="1"/>
  <c r="F5" i="3"/>
  <c r="C5" i="3"/>
  <c r="F19" i="2"/>
  <c r="B10" i="2"/>
  <c r="B11" i="2" s="1"/>
  <c r="C9" i="2"/>
  <c r="E9" i="2" s="1"/>
  <c r="F5" i="2"/>
  <c r="C5" i="2"/>
  <c r="F19" i="1"/>
  <c r="B10" i="1"/>
  <c r="B11" i="1" s="1"/>
  <c r="C9" i="1"/>
  <c r="E9" i="1" s="1"/>
  <c r="F5" i="1"/>
  <c r="C5" i="1"/>
  <c r="C11" i="2" l="1"/>
  <c r="E11" i="2" s="1"/>
  <c r="F11" i="2" s="1"/>
  <c r="B12" i="2"/>
  <c r="F9" i="2"/>
  <c r="F9" i="4"/>
  <c r="H9" i="4" s="1"/>
  <c r="B33" i="3"/>
  <c r="C32" i="3"/>
  <c r="B11" i="4"/>
  <c r="C10" i="4"/>
  <c r="F9" i="1"/>
  <c r="C11" i="3"/>
  <c r="B12" i="3"/>
  <c r="B38" i="4"/>
  <c r="C37" i="4"/>
  <c r="D37" i="4" s="1"/>
  <c r="F37" i="4" s="1"/>
  <c r="H37" i="4" s="1"/>
  <c r="C11" i="1"/>
  <c r="E11" i="1" s="1"/>
  <c r="F11" i="1" s="1"/>
  <c r="B12" i="1"/>
  <c r="C10" i="1"/>
  <c r="E10" i="1" s="1"/>
  <c r="F10" i="1" s="1"/>
  <c r="C10" i="2"/>
  <c r="E10" i="2" s="1"/>
  <c r="F10" i="2" s="1"/>
  <c r="C10" i="3"/>
  <c r="D36" i="4"/>
  <c r="D10" i="4" l="1"/>
  <c r="B13" i="1"/>
  <c r="C13" i="1" s="1"/>
  <c r="E13" i="1" s="1"/>
  <c r="F13" i="1" s="1"/>
  <c r="C12" i="1"/>
  <c r="E12" i="1" s="1"/>
  <c r="F12" i="1" s="1"/>
  <c r="B12" i="4"/>
  <c r="C11" i="4"/>
  <c r="D11" i="4" s="1"/>
  <c r="F11" i="4" s="1"/>
  <c r="H11" i="4" s="1"/>
  <c r="B13" i="3"/>
  <c r="C12" i="3"/>
  <c r="F15" i="2"/>
  <c r="E15" i="2"/>
  <c r="F32" i="3"/>
  <c r="E32" i="3"/>
  <c r="C33" i="3"/>
  <c r="B34" i="3"/>
  <c r="C38" i="4"/>
  <c r="B39" i="4"/>
  <c r="F11" i="3"/>
  <c r="E11" i="3"/>
  <c r="F36" i="4"/>
  <c r="H36" i="4" s="1"/>
  <c r="F15" i="1"/>
  <c r="F10" i="3"/>
  <c r="E10" i="3"/>
  <c r="B13" i="2"/>
  <c r="C13" i="2" s="1"/>
  <c r="E13" i="2" s="1"/>
  <c r="F13" i="2" s="1"/>
  <c r="C12" i="2"/>
  <c r="E12" i="2" s="1"/>
  <c r="F12" i="2" s="1"/>
  <c r="C12" i="4" l="1"/>
  <c r="D12" i="4" s="1"/>
  <c r="F12" i="4" s="1"/>
  <c r="H12" i="4" s="1"/>
  <c r="B13" i="4"/>
  <c r="B35" i="3"/>
  <c r="C34" i="3"/>
  <c r="F12" i="3"/>
  <c r="E12" i="3"/>
  <c r="B14" i="3"/>
  <c r="C13" i="3"/>
  <c r="C39" i="4"/>
  <c r="D39" i="4" s="1"/>
  <c r="F39" i="4" s="1"/>
  <c r="H39" i="4" s="1"/>
  <c r="B40" i="4"/>
  <c r="D38" i="4"/>
  <c r="E15" i="1"/>
  <c r="F33" i="3"/>
  <c r="E33" i="3"/>
  <c r="F10" i="4"/>
  <c r="H10" i="4" s="1"/>
  <c r="B41" i="4" l="1"/>
  <c r="C40" i="4"/>
  <c r="D40" i="4" s="1"/>
  <c r="F40" i="4" s="1"/>
  <c r="H40" i="4" s="1"/>
  <c r="F13" i="3"/>
  <c r="E13" i="3"/>
  <c r="C14" i="3"/>
  <c r="B15" i="3"/>
  <c r="C15" i="3" s="1"/>
  <c r="F34" i="3"/>
  <c r="E34" i="3"/>
  <c r="C35" i="3"/>
  <c r="B36" i="3"/>
  <c r="B14" i="4"/>
  <c r="C13" i="4"/>
  <c r="F38" i="4"/>
  <c r="H38" i="4" s="1"/>
  <c r="B37" i="3" l="1"/>
  <c r="C36" i="3"/>
  <c r="E35" i="3"/>
  <c r="F35" i="3"/>
  <c r="F15" i="3"/>
  <c r="E15" i="3"/>
  <c r="E14" i="3"/>
  <c r="E17" i="3" s="1"/>
  <c r="F14" i="3"/>
  <c r="F17" i="3"/>
  <c r="I21" i="3" s="1"/>
  <c r="C41" i="4"/>
  <c r="D41" i="4" s="1"/>
  <c r="B42" i="4"/>
  <c r="D13" i="4"/>
  <c r="C14" i="4"/>
  <c r="D14" i="4" s="1"/>
  <c r="F14" i="4" s="1"/>
  <c r="H14" i="4" s="1"/>
  <c r="B15" i="4"/>
  <c r="F13" i="4" l="1"/>
  <c r="H13" i="4" s="1"/>
  <c r="B43" i="4"/>
  <c r="C42" i="4"/>
  <c r="D42" i="4" s="1"/>
  <c r="F42" i="4" s="1"/>
  <c r="H42" i="4" s="1"/>
  <c r="F41" i="4"/>
  <c r="H41" i="4" s="1"/>
  <c r="B16" i="4"/>
  <c r="C15" i="4"/>
  <c r="F36" i="3"/>
  <c r="E36" i="3"/>
  <c r="C37" i="3"/>
  <c r="B38" i="3"/>
  <c r="C38" i="3" l="1"/>
  <c r="B39" i="3"/>
  <c r="F37" i="3"/>
  <c r="E37" i="3"/>
  <c r="D15" i="4"/>
  <c r="C16" i="4"/>
  <c r="D16" i="4" s="1"/>
  <c r="F16" i="4" s="1"/>
  <c r="H16" i="4" s="1"/>
  <c r="B17" i="4"/>
  <c r="C43" i="4"/>
  <c r="D43" i="4" s="1"/>
  <c r="B44" i="4"/>
  <c r="C44" i="4" l="1"/>
  <c r="D44" i="4" s="1"/>
  <c r="F44" i="4" s="1"/>
  <c r="H44" i="4" s="1"/>
  <c r="B45" i="4"/>
  <c r="F43" i="4"/>
  <c r="H43" i="4" s="1"/>
  <c r="C17" i="4"/>
  <c r="D17" i="4" s="1"/>
  <c r="F17" i="4" s="1"/>
  <c r="H17" i="4" s="1"/>
  <c r="B18" i="4"/>
  <c r="F15" i="4"/>
  <c r="H15" i="4" s="1"/>
  <c r="B40" i="3"/>
  <c r="C39" i="3"/>
  <c r="F38" i="3"/>
  <c r="E38" i="3"/>
  <c r="F39" i="3" l="1"/>
  <c r="E39" i="3"/>
  <c r="C40" i="3"/>
  <c r="B41" i="3"/>
  <c r="B19" i="4"/>
  <c r="C19" i="4" s="1"/>
  <c r="C18" i="4"/>
  <c r="D18" i="4" s="1"/>
  <c r="B46" i="4"/>
  <c r="C45" i="4"/>
  <c r="D45" i="4" s="1"/>
  <c r="F45" i="4" l="1"/>
  <c r="H45" i="4" s="1"/>
  <c r="C46" i="4"/>
  <c r="D46" i="4" s="1"/>
  <c r="F46" i="4" s="1"/>
  <c r="H46" i="4" s="1"/>
  <c r="B47" i="4"/>
  <c r="F18" i="4"/>
  <c r="H18" i="4" s="1"/>
  <c r="D19" i="4"/>
  <c r="F19" i="4" s="1"/>
  <c r="H19" i="4" s="1"/>
  <c r="H21" i="4" s="1"/>
  <c r="H25" i="4" s="1"/>
  <c r="C21" i="4"/>
  <c r="B42" i="3"/>
  <c r="C41" i="3"/>
  <c r="E40" i="3"/>
  <c r="F40" i="3"/>
  <c r="F41" i="3" l="1"/>
  <c r="E41" i="3"/>
  <c r="C42" i="3"/>
  <c r="B43" i="3"/>
  <c r="C43" i="3" s="1"/>
  <c r="D21" i="4"/>
  <c r="B48" i="4"/>
  <c r="C47" i="4"/>
  <c r="D47" i="4" s="1"/>
  <c r="F47" i="4" s="1"/>
  <c r="H47" i="4" s="1"/>
  <c r="C48" i="4" l="1"/>
  <c r="D48" i="4" s="1"/>
  <c r="F48" i="4" s="1"/>
  <c r="H48" i="4" s="1"/>
  <c r="B49" i="4"/>
  <c r="F43" i="3"/>
  <c r="E43" i="3"/>
  <c r="F42" i="3"/>
  <c r="E42" i="3"/>
  <c r="E45" i="3" s="1"/>
  <c r="F45" i="3" l="1"/>
  <c r="I22" i="3" s="1"/>
  <c r="L21" i="3" s="1"/>
  <c r="B50" i="4"/>
  <c r="C49" i="4"/>
  <c r="D49" i="4" s="1"/>
  <c r="F49" i="4" s="1"/>
  <c r="H49" i="4" s="1"/>
  <c r="C50" i="4" l="1"/>
  <c r="D50" i="4" s="1"/>
  <c r="F50" i="4" s="1"/>
  <c r="H50" i="4" s="1"/>
  <c r="B51" i="4"/>
  <c r="B52" i="4" l="1"/>
  <c r="C51" i="4"/>
  <c r="D51" i="4" s="1"/>
  <c r="F51" i="4" s="1"/>
  <c r="H51" i="4" s="1"/>
  <c r="B53" i="4" l="1"/>
  <c r="C52" i="4"/>
  <c r="D52" i="4" s="1"/>
  <c r="F52" i="4" s="1"/>
  <c r="H52" i="4" s="1"/>
  <c r="C53" i="4" l="1"/>
  <c r="D53" i="4" s="1"/>
  <c r="F53" i="4" s="1"/>
  <c r="H53" i="4" s="1"/>
  <c r="B54" i="4"/>
  <c r="B55" i="4" l="1"/>
  <c r="C54" i="4"/>
  <c r="D54" i="4" s="1"/>
  <c r="F54" i="4" s="1"/>
  <c r="H54" i="4" s="1"/>
  <c r="C55" i="4" l="1"/>
  <c r="D55" i="4" s="1"/>
  <c r="F55" i="4" s="1"/>
  <c r="H55" i="4" s="1"/>
  <c r="B56" i="4"/>
  <c r="C56" i="4" s="1"/>
  <c r="D56" i="4" l="1"/>
  <c r="C58" i="4"/>
  <c r="F56" i="4" l="1"/>
  <c r="H56" i="4" s="1"/>
  <c r="H58" i="4" s="1"/>
  <c r="H26" i="4" s="1"/>
  <c r="I25" i="4" s="1"/>
  <c r="D58" i="4"/>
</calcChain>
</file>

<file path=xl/sharedStrings.xml><?xml version="1.0" encoding="utf-8"?>
<sst xmlns="http://schemas.openxmlformats.org/spreadsheetml/2006/main" count="127" uniqueCount="43">
  <si>
    <t>x0</t>
  </si>
  <si>
    <t>x1</t>
  </si>
  <si>
    <t>num_segmentos</t>
  </si>
  <si>
    <t>W</t>
  </si>
  <si>
    <t>W/3</t>
  </si>
  <si>
    <t>x</t>
  </si>
  <si>
    <t>f(x) = 2x</t>
  </si>
  <si>
    <t>f(x)</t>
  </si>
  <si>
    <t xml:space="preserve"> </t>
  </si>
  <si>
    <t>2x</t>
  </si>
  <si>
    <t>x^2</t>
  </si>
  <si>
    <t>x^3/3</t>
  </si>
  <si>
    <t>1/3</t>
  </si>
  <si>
    <t>Integral</t>
  </si>
  <si>
    <t>ln (x)</t>
  </si>
  <si>
    <t>Error</t>
  </si>
  <si>
    <t>dof</t>
  </si>
  <si>
    <t>p1</t>
  </si>
  <si>
    <t>p2</t>
  </si>
  <si>
    <t>Valor inicial</t>
  </si>
  <si>
    <t>Valor final</t>
  </si>
  <si>
    <t>Width</t>
  </si>
  <si>
    <t>Comprobación</t>
  </si>
  <si>
    <t>Suma</t>
  </si>
  <si>
    <t>Multiplicador</t>
  </si>
  <si>
    <t>F(x) * multiplicador</t>
  </si>
  <si>
    <t>F(x) = x^2</t>
  </si>
  <si>
    <t>F(x) = 1</t>
  </si>
  <si>
    <t>X</t>
  </si>
  <si>
    <t>Valor Inicial</t>
  </si>
  <si>
    <t>Valor Final</t>
  </si>
  <si>
    <t>F(x) = 1/x</t>
  </si>
  <si>
    <t>1/X</t>
  </si>
  <si>
    <t>Segmento</t>
  </si>
  <si>
    <t>Iteración</t>
  </si>
  <si>
    <t>F(x) * Multiplicador</t>
  </si>
  <si>
    <t>Termino</t>
  </si>
  <si>
    <t>Constante</t>
  </si>
  <si>
    <t>F(x) = …</t>
  </si>
  <si>
    <t>C</t>
  </si>
  <si>
    <t>F(X)</t>
  </si>
  <si>
    <t>Iteración 1</t>
  </si>
  <si>
    <t>Iteración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</si>
</sst>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0"/>
      <name val="Calibri"/>
    </font>
    <font>
      <sz val="12"/>
      <color theme="1"/>
      <name val="Calibri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3"/>
      <name val="Calibri"/>
      <family val="2"/>
    </font>
    <font>
      <b/>
      <sz val="12"/>
      <color theme="3"/>
      <name val="Calibri"/>
      <family val="2"/>
      <scheme val="minor"/>
    </font>
    <font>
      <b/>
      <sz val="12"/>
      <color theme="3"/>
      <name val="Calibri"/>
      <family val="2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24406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244061"/>
      </patternFill>
    </fill>
    <fill>
      <patternFill patternType="solid">
        <fgColor theme="8" tint="0.59999389629810485"/>
        <bgColor theme="4"/>
      </patternFill>
    </fill>
    <fill>
      <patternFill patternType="solid">
        <fgColor theme="2"/>
        <bgColor rgb="FF244061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8" tint="0.79998168889431442"/>
        <b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5"/>
      </patternFill>
    </fill>
    <fill>
      <patternFill patternType="solid">
        <fgColor theme="4" tint="0.79998168889431442"/>
        <bgColor theme="5"/>
      </patternFill>
    </fill>
    <fill>
      <patternFill patternType="solid">
        <fgColor theme="6" tint="0.59999389629810485"/>
        <bgColor rgb="FF1F497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7" tint="0.79998168889431442"/>
        <bgColor rgb="FF1F497D"/>
      </patternFill>
    </fill>
    <fill>
      <patternFill patternType="solid">
        <fgColor theme="8" tint="0.59999389629810485"/>
        <bgColor theme="1"/>
      </patternFill>
    </fill>
    <fill>
      <patternFill patternType="solid">
        <fgColor theme="8" tint="0.79998168889431442"/>
        <bgColor theme="1"/>
      </patternFill>
    </fill>
    <fill>
      <patternFill patternType="solid">
        <fgColor theme="0"/>
        <bgColor rgb="FF244061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7" tint="0.79998168889431442"/>
        <bgColor rgb="FF4F81BD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theme="6" tint="0.39997558519241921"/>
      </left>
      <right style="medium">
        <color theme="6" tint="0.39997558519241921"/>
      </right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6" tint="0.39997558519241921"/>
      </left>
      <right/>
      <top/>
      <bottom style="medium">
        <color theme="6" tint="0.39997558519241921"/>
      </bottom>
      <diagonal/>
    </border>
    <border>
      <left/>
      <right style="medium">
        <color theme="6" tint="0.39997558519241921"/>
      </right>
      <top/>
      <bottom style="medium">
        <color theme="6" tint="0.39997558519241921"/>
      </bottom>
      <diagonal/>
    </border>
    <border>
      <left/>
      <right style="medium">
        <color theme="6" tint="0.39997558519241921"/>
      </right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6" tint="0.39997558519241921"/>
      </left>
      <right/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7" tint="0.39997558519241921"/>
      </left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 style="medium">
        <color theme="8" tint="0.39997558519241921"/>
      </top>
      <bottom style="medium">
        <color theme="8" tint="0.39997558519241921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theme="8" tint="0.39997558519241921"/>
      </left>
      <right style="medium">
        <color theme="8" tint="0.39997558519241921"/>
      </right>
      <top style="medium">
        <color theme="8" tint="0.39997558519241921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6" tint="0.39997558519241921"/>
      </left>
      <right style="medium">
        <color theme="6" tint="0.39997558519241921"/>
      </right>
      <top style="medium">
        <color theme="6" tint="0.39997558519241921"/>
      </top>
      <bottom/>
      <diagonal/>
    </border>
    <border>
      <left/>
      <right style="medium">
        <color theme="5" tint="0.39997558519241921"/>
      </right>
      <top style="medium">
        <color theme="5" tint="0.39997558519241921"/>
      </top>
      <bottom/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2" borderId="3" xfId="0" applyFont="1" applyFill="1" applyBorder="1"/>
    <xf numFmtId="0" fontId="8" fillId="3" borderId="4" xfId="0" applyFont="1" applyFill="1" applyBorder="1"/>
    <xf numFmtId="0" fontId="6" fillId="2" borderId="6" xfId="0" applyFont="1" applyFill="1" applyBorder="1"/>
    <xf numFmtId="0" fontId="8" fillId="3" borderId="5" xfId="0" applyFont="1" applyFill="1" applyBorder="1"/>
    <xf numFmtId="0" fontId="9" fillId="0" borderId="0" xfId="0" applyFont="1"/>
    <xf numFmtId="0" fontId="9" fillId="4" borderId="8" xfId="0" applyFont="1" applyFill="1" applyBorder="1"/>
    <xf numFmtId="0" fontId="6" fillId="5" borderId="9" xfId="0" applyFont="1" applyFill="1" applyBorder="1"/>
    <xf numFmtId="0" fontId="9" fillId="4" borderId="7" xfId="0" applyFont="1" applyFill="1" applyBorder="1"/>
    <xf numFmtId="0" fontId="8" fillId="6" borderId="10" xfId="0" applyFont="1" applyFill="1" applyBorder="1"/>
    <xf numFmtId="0" fontId="3" fillId="7" borderId="10" xfId="0" applyFont="1" applyFill="1" applyBorder="1"/>
    <xf numFmtId="0" fontId="3" fillId="7" borderId="12" xfId="0" applyFont="1" applyFill="1" applyBorder="1"/>
    <xf numFmtId="0" fontId="8" fillId="7" borderId="12" xfId="0" applyFont="1" applyFill="1" applyBorder="1"/>
    <xf numFmtId="0" fontId="9" fillId="8" borderId="11" xfId="0" applyFont="1" applyFill="1" applyBorder="1"/>
    <xf numFmtId="0" fontId="10" fillId="9" borderId="11" xfId="0" applyFont="1" applyFill="1" applyBorder="1"/>
    <xf numFmtId="0" fontId="12" fillId="9" borderId="11" xfId="0" applyFont="1" applyFill="1" applyBorder="1"/>
    <xf numFmtId="0" fontId="9" fillId="10" borderId="11" xfId="0" applyFont="1" applyFill="1" applyBorder="1"/>
    <xf numFmtId="0" fontId="11" fillId="10" borderId="11" xfId="0" applyFont="1" applyFill="1" applyBorder="1"/>
    <xf numFmtId="0" fontId="7" fillId="9" borderId="11" xfId="0" applyFont="1" applyFill="1" applyBorder="1"/>
    <xf numFmtId="0" fontId="6" fillId="10" borderId="11" xfId="0" applyFont="1" applyFill="1" applyBorder="1"/>
    <xf numFmtId="0" fontId="9" fillId="11" borderId="13" xfId="0" applyFont="1" applyFill="1" applyBorder="1"/>
    <xf numFmtId="0" fontId="1" fillId="12" borderId="13" xfId="0" applyFont="1" applyFill="1" applyBorder="1"/>
    <xf numFmtId="0" fontId="0" fillId="11" borderId="13" xfId="0" applyFill="1" applyBorder="1"/>
    <xf numFmtId="0" fontId="0" fillId="12" borderId="13" xfId="0" applyFill="1" applyBorder="1"/>
    <xf numFmtId="0" fontId="7" fillId="13" borderId="13" xfId="0" applyFont="1" applyFill="1" applyBorder="1"/>
    <xf numFmtId="0" fontId="2" fillId="17" borderId="1" xfId="0" applyFont="1" applyFill="1" applyBorder="1"/>
    <xf numFmtId="0" fontId="6" fillId="2" borderId="2" xfId="0" applyFont="1" applyFill="1" applyBorder="1"/>
    <xf numFmtId="0" fontId="16" fillId="14" borderId="2" xfId="0" applyFont="1" applyFill="1" applyBorder="1"/>
    <xf numFmtId="0" fontId="17" fillId="15" borderId="2" xfId="0" applyFont="1" applyFill="1" applyBorder="1"/>
    <xf numFmtId="0" fontId="0" fillId="2" borderId="2" xfId="0" applyFill="1" applyBorder="1"/>
    <xf numFmtId="0" fontId="1" fillId="5" borderId="7" xfId="0" applyFont="1" applyFill="1" applyBorder="1"/>
    <xf numFmtId="0" fontId="10" fillId="7" borderId="14" xfId="0" applyFont="1" applyFill="1" applyBorder="1"/>
    <xf numFmtId="0" fontId="10" fillId="7" borderId="10" xfId="0" applyFont="1" applyFill="1" applyBorder="1"/>
    <xf numFmtId="0" fontId="10" fillId="7" borderId="12" xfId="0" applyFont="1" applyFill="1" applyBorder="1"/>
    <xf numFmtId="0" fontId="12" fillId="7" borderId="12" xfId="0" applyFont="1" applyFill="1" applyBorder="1"/>
    <xf numFmtId="0" fontId="12" fillId="7" borderId="15" xfId="0" applyFont="1" applyFill="1" applyBorder="1"/>
    <xf numFmtId="0" fontId="0" fillId="0" borderId="1" xfId="0" applyBorder="1"/>
    <xf numFmtId="0" fontId="0" fillId="8" borderId="11" xfId="0" applyFill="1" applyBorder="1"/>
    <xf numFmtId="0" fontId="18" fillId="10" borderId="11" xfId="0" applyFont="1" applyFill="1" applyBorder="1"/>
    <xf numFmtId="0" fontId="10" fillId="18" borderId="11" xfId="0" applyFont="1" applyFill="1" applyBorder="1"/>
    <xf numFmtId="0" fontId="0" fillId="10" borderId="11" xfId="0" applyFill="1" applyBorder="1"/>
    <xf numFmtId="0" fontId="13" fillId="12" borderId="13" xfId="0" applyFont="1" applyFill="1" applyBorder="1"/>
    <xf numFmtId="16" fontId="3" fillId="12" borderId="13" xfId="0" quotePrefix="1" applyNumberFormat="1" applyFont="1" applyFill="1" applyBorder="1"/>
    <xf numFmtId="0" fontId="7" fillId="9" borderId="16" xfId="0" applyFont="1" applyFill="1" applyBorder="1"/>
    <xf numFmtId="0" fontId="7" fillId="19" borderId="11" xfId="0" applyFont="1" applyFill="1" applyBorder="1"/>
    <xf numFmtId="0" fontId="9" fillId="8" borderId="16" xfId="0" applyFont="1" applyFill="1" applyBorder="1"/>
    <xf numFmtId="0" fontId="8" fillId="6" borderId="12" xfId="0" applyFont="1" applyFill="1" applyBorder="1"/>
    <xf numFmtId="0" fontId="9" fillId="11" borderId="17" xfId="0" applyFont="1" applyFill="1" applyBorder="1"/>
    <xf numFmtId="0" fontId="6" fillId="12" borderId="13" xfId="0" applyFont="1" applyFill="1" applyBorder="1"/>
    <xf numFmtId="0" fontId="9" fillId="14" borderId="2" xfId="0" applyFont="1" applyFill="1" applyBorder="1"/>
    <xf numFmtId="0" fontId="8" fillId="15" borderId="2" xfId="0" applyFont="1" applyFill="1" applyBorder="1"/>
    <xf numFmtId="0" fontId="6" fillId="14" borderId="2" xfId="0" applyFont="1" applyFill="1" applyBorder="1"/>
    <xf numFmtId="0" fontId="7" fillId="15" borderId="2" xfId="0" applyFont="1" applyFill="1" applyBorder="1"/>
    <xf numFmtId="0" fontId="9" fillId="6" borderId="10" xfId="0" applyFont="1" applyFill="1" applyBorder="1"/>
    <xf numFmtId="0" fontId="0" fillId="7" borderId="10" xfId="0" applyFill="1" applyBorder="1"/>
    <xf numFmtId="0" fontId="1" fillId="7" borderId="10" xfId="0" applyFont="1" applyFill="1" applyBorder="1"/>
    <xf numFmtId="0" fontId="9" fillId="7" borderId="10" xfId="0" applyFont="1" applyFill="1" applyBorder="1"/>
    <xf numFmtId="0" fontId="13" fillId="7" borderId="10" xfId="0" applyFont="1" applyFill="1" applyBorder="1"/>
    <xf numFmtId="0" fontId="0" fillId="7" borderId="12" xfId="0" applyFill="1" applyBorder="1"/>
    <xf numFmtId="0" fontId="9" fillId="7" borderId="12" xfId="0" applyFont="1" applyFill="1" applyBorder="1"/>
    <xf numFmtId="0" fontId="9" fillId="11" borderId="18" xfId="0" applyFont="1" applyFill="1" applyBorder="1"/>
    <xf numFmtId="0" fontId="1" fillId="0" borderId="1" xfId="0" applyFont="1" applyBorder="1"/>
    <xf numFmtId="0" fontId="4" fillId="9" borderId="11" xfId="0" applyFont="1" applyFill="1" applyBorder="1"/>
    <xf numFmtId="0" fontId="8" fillId="9" borderId="11" xfId="0" applyFont="1" applyFill="1" applyBorder="1"/>
    <xf numFmtId="0" fontId="13" fillId="10" borderId="11" xfId="0" applyFont="1" applyFill="1" applyBorder="1"/>
    <xf numFmtId="0" fontId="4" fillId="18" borderId="11" xfId="0" applyFont="1" applyFill="1" applyBorder="1"/>
    <xf numFmtId="0" fontId="1" fillId="10" borderId="11" xfId="0" applyFont="1" applyFill="1" applyBorder="1"/>
    <xf numFmtId="0" fontId="8" fillId="20" borderId="19" xfId="0" applyFont="1" applyFill="1" applyBorder="1"/>
    <xf numFmtId="0" fontId="8" fillId="22" borderId="19" xfId="0" applyFont="1" applyFill="1" applyBorder="1"/>
    <xf numFmtId="0" fontId="8" fillId="21" borderId="19" xfId="0" applyFont="1" applyFill="1" applyBorder="1"/>
    <xf numFmtId="0" fontId="3" fillId="21" borderId="19" xfId="0" applyFont="1" applyFill="1" applyBorder="1"/>
    <xf numFmtId="0" fontId="8" fillId="23" borderId="19" xfId="0" applyFont="1" applyFill="1" applyBorder="1"/>
    <xf numFmtId="0" fontId="9" fillId="21" borderId="19" xfId="0" applyFont="1" applyFill="1" applyBorder="1"/>
    <xf numFmtId="0" fontId="0" fillId="21" borderId="19" xfId="0" applyFill="1" applyBorder="1"/>
    <xf numFmtId="0" fontId="2" fillId="31" borderId="1" xfId="0" applyFont="1" applyFill="1" applyBorder="1"/>
    <xf numFmtId="0" fontId="17" fillId="24" borderId="2" xfId="0" applyFont="1" applyFill="1" applyBorder="1"/>
    <xf numFmtId="0" fontId="8" fillId="32" borderId="7" xfId="0" applyFont="1" applyFill="1" applyBorder="1"/>
    <xf numFmtId="0" fontId="17" fillId="24" borderId="20" xfId="0" applyFont="1" applyFill="1" applyBorder="1"/>
    <xf numFmtId="0" fontId="9" fillId="25" borderId="7" xfId="0" applyFont="1" applyFill="1" applyBorder="1"/>
    <xf numFmtId="0" fontId="8" fillId="26" borderId="7" xfId="0" applyFont="1" applyFill="1" applyBorder="1"/>
    <xf numFmtId="0" fontId="0" fillId="0" borderId="21" xfId="0" applyBorder="1"/>
    <xf numFmtId="0" fontId="1" fillId="5" borderId="22" xfId="0" applyFont="1" applyFill="1" applyBorder="1"/>
    <xf numFmtId="0" fontId="0" fillId="6" borderId="10" xfId="0" applyFill="1" applyBorder="1"/>
    <xf numFmtId="0" fontId="8" fillId="27" borderId="10" xfId="0" applyFont="1" applyFill="1" applyBorder="1"/>
    <xf numFmtId="0" fontId="7" fillId="27" borderId="10" xfId="0" applyFont="1" applyFill="1" applyBorder="1"/>
    <xf numFmtId="0" fontId="17" fillId="27" borderId="10" xfId="0" applyFont="1" applyFill="1" applyBorder="1"/>
    <xf numFmtId="0" fontId="13" fillId="6" borderId="10" xfId="0" applyFont="1" applyFill="1" applyBorder="1"/>
    <xf numFmtId="0" fontId="7" fillId="33" borderId="10" xfId="0" applyFont="1" applyFill="1" applyBorder="1"/>
    <xf numFmtId="0" fontId="9" fillId="5" borderId="22" xfId="0" applyFont="1" applyFill="1" applyBorder="1"/>
    <xf numFmtId="0" fontId="15" fillId="28" borderId="10" xfId="0" applyFont="1" applyFill="1" applyBorder="1"/>
    <xf numFmtId="0" fontId="14" fillId="7" borderId="10" xfId="0" applyFont="1" applyFill="1" applyBorder="1"/>
    <xf numFmtId="0" fontId="7" fillId="27" borderId="12" xfId="0" applyFont="1" applyFill="1" applyBorder="1"/>
    <xf numFmtId="0" fontId="17" fillId="27" borderId="12" xfId="0" applyFont="1" applyFill="1" applyBorder="1"/>
    <xf numFmtId="0" fontId="8" fillId="29" borderId="11" xfId="0" applyFont="1" applyFill="1" applyBorder="1"/>
    <xf numFmtId="0" fontId="8" fillId="16" borderId="11" xfId="0" applyFont="1" applyFill="1" applyBorder="1"/>
    <xf numFmtId="0" fontId="8" fillId="30" borderId="11" xfId="0" applyFont="1" applyFill="1" applyBorder="1"/>
    <xf numFmtId="0" fontId="17" fillId="29" borderId="11" xfId="0" applyFont="1" applyFill="1" applyBorder="1"/>
    <xf numFmtId="0" fontId="17" fillId="16" borderId="11" xfId="0" applyFont="1" applyFill="1" applyBorder="1"/>
    <xf numFmtId="0" fontId="17" fillId="30" borderId="11" xfId="0" applyFont="1" applyFill="1" applyBorder="1"/>
    <xf numFmtId="0" fontId="15" fillId="9" borderId="11" xfId="0" applyFont="1" applyFill="1" applyBorder="1"/>
    <xf numFmtId="0" fontId="16" fillId="10" borderId="11" xfId="0" applyFont="1" applyFill="1" applyBorder="1"/>
    <xf numFmtId="0" fontId="14" fillId="10" borderId="11" xfId="0" applyFont="1" applyFill="1" applyBorder="1"/>
    <xf numFmtId="0" fontId="9" fillId="20" borderId="19" xfId="0" applyFont="1" applyFill="1" applyBorder="1"/>
    <xf numFmtId="0" fontId="1" fillId="21" borderId="19" xfId="0" applyFont="1" applyFill="1" applyBorder="1"/>
    <xf numFmtId="164" fontId="3" fillId="21" borderId="19" xfId="0" applyNumberFormat="1" applyFont="1" applyFill="1" applyBorder="1"/>
    <xf numFmtId="0" fontId="9" fillId="14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TRIANGULO!$B$9:$B$13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TRIANGULO!$C$9:$C$13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2D-4581-845B-FE962B693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664491"/>
        <c:axId val="1968343787"/>
      </c:scatterChart>
      <c:valAx>
        <c:axId val="499664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968343787"/>
        <c:crosses val="autoZero"/>
        <c:crossBetween val="midCat"/>
      </c:valAx>
      <c:valAx>
        <c:axId val="1968343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9966449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'X^2'!$B$9:$B$13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'X^2'!$C$9:$C$13</c:f>
              <c:numCache>
                <c:formatCode>General</c:formatCode>
                <c:ptCount val="5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B5-493A-A877-2DD8999B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988011"/>
        <c:axId val="1950757058"/>
      </c:scatterChart>
      <c:valAx>
        <c:axId val="1356988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950757058"/>
        <c:crosses val="autoZero"/>
        <c:crossBetween val="midCat"/>
      </c:valAx>
      <c:valAx>
        <c:axId val="1950757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569880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ENTRE X'!$B$9:$B$15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</c:numCache>
            </c:numRef>
          </c:xVal>
          <c:yVal>
            <c:numRef>
              <c:f>'1 ENTRE X'!$C$9:$C$15</c:f>
              <c:numCache>
                <c:formatCode>General</c:formatCode>
                <c:ptCount val="7"/>
                <c:pt idx="0">
                  <c:v>1</c:v>
                </c:pt>
                <c:pt idx="1">
                  <c:v>0.66666666666666663</c:v>
                </c:pt>
                <c:pt idx="2">
                  <c:v>0.5</c:v>
                </c:pt>
                <c:pt idx="3">
                  <c:v>0.4</c:v>
                </c:pt>
                <c:pt idx="4">
                  <c:v>0.33333333333333331</c:v>
                </c:pt>
                <c:pt idx="5">
                  <c:v>0.2857142857142857</c:v>
                </c:pt>
                <c:pt idx="6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D8-4C78-B855-482057B97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12892"/>
        <c:axId val="595545829"/>
      </c:scatterChart>
      <c:valAx>
        <c:axId val="574712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595545829"/>
        <c:crosses val="autoZero"/>
        <c:crossBetween val="midCat"/>
      </c:valAx>
      <c:valAx>
        <c:axId val="595545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57471289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ENTRE X'!$B$31:$B$43</c:f>
              <c:numCache>
                <c:formatCode>General</c:formatCode>
                <c:ptCount val="13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</c:numCache>
            </c:numRef>
          </c:xVal>
          <c:yVal>
            <c:numRef>
              <c:f>'1 ENTRE X'!$C$31:$C$43</c:f>
              <c:numCache>
                <c:formatCode>General</c:formatCode>
                <c:ptCount val="13"/>
                <c:pt idx="0">
                  <c:v>1</c:v>
                </c:pt>
                <c:pt idx="1">
                  <c:v>0.8</c:v>
                </c:pt>
                <c:pt idx="2">
                  <c:v>0.66666666666666663</c:v>
                </c:pt>
                <c:pt idx="3">
                  <c:v>0.5714285714285714</c:v>
                </c:pt>
                <c:pt idx="4">
                  <c:v>0.5</c:v>
                </c:pt>
                <c:pt idx="5">
                  <c:v>0.44444444444444442</c:v>
                </c:pt>
                <c:pt idx="6">
                  <c:v>0.4</c:v>
                </c:pt>
                <c:pt idx="7">
                  <c:v>0.36363636363636365</c:v>
                </c:pt>
                <c:pt idx="8">
                  <c:v>0.33333333333333331</c:v>
                </c:pt>
                <c:pt idx="9">
                  <c:v>0.30769230769230771</c:v>
                </c:pt>
                <c:pt idx="10">
                  <c:v>0.2857142857142857</c:v>
                </c:pt>
                <c:pt idx="11">
                  <c:v>0.26666666666666666</c:v>
                </c:pt>
                <c:pt idx="12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FD-47D9-953A-0EE0234E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94050"/>
        <c:axId val="823831523"/>
      </c:scatterChart>
      <c:valAx>
        <c:axId val="1505594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23831523"/>
        <c:crosses val="autoZero"/>
        <c:crossBetween val="midCat"/>
      </c:valAx>
      <c:valAx>
        <c:axId val="82383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055940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't-student'!$B$9:$B$19</c:f>
              <c:numCache>
                <c:formatCode>General</c:formatCode>
                <c:ptCount val="11"/>
                <c:pt idx="0">
                  <c:v>0</c:v>
                </c:pt>
                <c:pt idx="1">
                  <c:v>0.11000000000000001</c:v>
                </c:pt>
                <c:pt idx="2">
                  <c:v>0.22000000000000003</c:v>
                </c:pt>
                <c:pt idx="3">
                  <c:v>0.33000000000000007</c:v>
                </c:pt>
                <c:pt idx="4">
                  <c:v>0.44000000000000006</c:v>
                </c:pt>
                <c:pt idx="5">
                  <c:v>0.55000000000000004</c:v>
                </c:pt>
                <c:pt idx="6">
                  <c:v>0.66</c:v>
                </c:pt>
                <c:pt idx="7">
                  <c:v>0.77</c:v>
                </c:pt>
                <c:pt idx="8">
                  <c:v>0.88</c:v>
                </c:pt>
                <c:pt idx="9">
                  <c:v>0.99</c:v>
                </c:pt>
                <c:pt idx="10">
                  <c:v>1.1000000000000001</c:v>
                </c:pt>
              </c:numCache>
            </c:numRef>
          </c:xVal>
          <c:yVal>
            <c:numRef>
              <c:f>'t-student'!$F$9:$F$19</c:f>
              <c:numCache>
                <c:formatCode>General</c:formatCode>
                <c:ptCount val="11"/>
                <c:pt idx="0">
                  <c:v>0.38803490887166864</c:v>
                </c:pt>
                <c:pt idx="1">
                  <c:v>0.38543693984483202</c:v>
                </c:pt>
                <c:pt idx="2">
                  <c:v>0.37776732398026314</c:v>
                </c:pt>
                <c:pt idx="3">
                  <c:v>0.36538748960779854</c:v>
                </c:pt>
                <c:pt idx="4">
                  <c:v>0.34886333127019753</c:v>
                </c:pt>
                <c:pt idx="5">
                  <c:v>0.32891596328171852</c:v>
                </c:pt>
                <c:pt idx="6">
                  <c:v>0.30636259289430617</c:v>
                </c:pt>
                <c:pt idx="7">
                  <c:v>0.28205497140663432</c:v>
                </c:pt>
                <c:pt idx="8">
                  <c:v>0.25682234441928659</c:v>
                </c:pt>
                <c:pt idx="9">
                  <c:v>0.23142425829711369</c:v>
                </c:pt>
                <c:pt idx="10">
                  <c:v>0.20651644224485097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B8-495D-AE96-D92FF4BD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13594"/>
        <c:axId val="1119608837"/>
      </c:scatterChart>
      <c:valAx>
        <c:axId val="177381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119608837"/>
        <c:crosses val="autoZero"/>
        <c:crossBetween val="midCat"/>
      </c:valAx>
      <c:valAx>
        <c:axId val="1119608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381359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't-student'!$B$36:$B$56</c:f>
              <c:numCache>
                <c:formatCode>General</c:formatCode>
                <c:ptCount val="21"/>
                <c:pt idx="0">
                  <c:v>0</c:v>
                </c:pt>
                <c:pt idx="1">
                  <c:v>5.5000000000000007E-2</c:v>
                </c:pt>
                <c:pt idx="2">
                  <c:v>0.11000000000000001</c:v>
                </c:pt>
                <c:pt idx="3">
                  <c:v>0.16500000000000004</c:v>
                </c:pt>
                <c:pt idx="4">
                  <c:v>0.22000000000000003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0.60500000000000009</c:v>
                </c:pt>
                <c:pt idx="12">
                  <c:v>0.66000000000000014</c:v>
                </c:pt>
                <c:pt idx="13">
                  <c:v>0.71500000000000019</c:v>
                </c:pt>
                <c:pt idx="14">
                  <c:v>0.77000000000000024</c:v>
                </c:pt>
                <c:pt idx="15">
                  <c:v>0.82500000000000029</c:v>
                </c:pt>
                <c:pt idx="16">
                  <c:v>0.88000000000000034</c:v>
                </c:pt>
                <c:pt idx="17">
                  <c:v>0.93500000000000039</c:v>
                </c:pt>
                <c:pt idx="18">
                  <c:v>0.99000000000000044</c:v>
                </c:pt>
                <c:pt idx="19">
                  <c:v>1.0450000000000004</c:v>
                </c:pt>
                <c:pt idx="20">
                  <c:v>1.1000000000000003</c:v>
                </c:pt>
              </c:numCache>
            </c:numRef>
          </c:xVal>
          <c:yVal>
            <c:numRef>
              <c:f>'t-student'!$F$36:$F$56</c:f>
              <c:numCache>
                <c:formatCode>General</c:formatCode>
                <c:ptCount val="21"/>
                <c:pt idx="0">
                  <c:v>0.39372980729260415</c:v>
                </c:pt>
                <c:pt idx="1">
                  <c:v>0.39310349655905424</c:v>
                </c:pt>
                <c:pt idx="2">
                  <c:v>0.39123113040112251</c:v>
                </c:pt>
                <c:pt idx="3">
                  <c:v>0.38813228200852751</c:v>
                </c:pt>
                <c:pt idx="4">
                  <c:v>0.38383916050085343</c:v>
                </c:pt>
                <c:pt idx="5">
                  <c:v>0.37839600408313939</c:v>
                </c:pt>
                <c:pt idx="6">
                  <c:v>0.3718582548568149</c:v>
                </c:pt>
                <c:pt idx="7">
                  <c:v>0.3642915385208671</c:v>
                </c:pt>
                <c:pt idx="8">
                  <c:v>0.35577047724906408</c:v>
                </c:pt>
                <c:pt idx="9">
                  <c:v>0.34637736800213692</c:v>
                </c:pt>
                <c:pt idx="10">
                  <c:v>0.33620076130558002</c:v>
                </c:pt>
                <c:pt idx="11">
                  <c:v>0.325333977028884</c:v>
                </c:pt>
                <c:pt idx="12">
                  <c:v>0.31387359393404801</c:v>
                </c:pt>
                <c:pt idx="13">
                  <c:v>0.30191794877051004</c:v>
                </c:pt>
                <c:pt idx="14">
                  <c:v>0.28956567858153792</c:v>
                </c:pt>
                <c:pt idx="15">
                  <c:v>0.27691433679853023</c:v>
                </c:pt>
                <c:pt idx="16">
                  <c:v>0.26405910981257602</c:v>
                </c:pt>
                <c:pt idx="17">
                  <c:v>0.25109165622749963</c:v>
                </c:pt>
                <c:pt idx="18">
                  <c:v>0.23809908612660322</c:v>
                </c:pt>
                <c:pt idx="19">
                  <c:v>0.22516309263740014</c:v>
                </c:pt>
                <c:pt idx="20">
                  <c:v>0.21235924305518386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0-4A81-9597-032198F23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488286"/>
        <c:axId val="17084315"/>
      </c:scatterChart>
      <c:valAx>
        <c:axId val="1717488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084315"/>
        <c:crosses val="autoZero"/>
        <c:crossBetween val="midCat"/>
      </c:valAx>
      <c:valAx>
        <c:axId val="17084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748828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0</xdr:row>
      <xdr:rowOff>104775</xdr:rowOff>
    </xdr:from>
    <xdr:ext cx="4962525" cy="2876550"/>
    <xdr:graphicFrame macro="">
      <xdr:nvGraphicFramePr>
        <xdr:cNvPr id="694601978" name="Chart 1">
          <a:extLst>
            <a:ext uri="{FF2B5EF4-FFF2-40B4-BE49-F238E27FC236}">
              <a16:creationId xmlns:a16="http://schemas.microsoft.com/office/drawing/2014/main" id="{00000000-0008-0000-0000-0000FAC86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381000</xdr:colOff>
      <xdr:row>19</xdr:row>
      <xdr:rowOff>95250</xdr:rowOff>
    </xdr:from>
    <xdr:ext cx="8801100" cy="1466850"/>
    <xdr:pic>
      <xdr:nvPicPr>
        <xdr:cNvPr id="2" name="image2.png" descr="simpson_rul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9225" y="4000500"/>
          <a:ext cx="8801100" cy="1466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571500</xdr:colOff>
      <xdr:row>3</xdr:row>
      <xdr:rowOff>104775</xdr:rowOff>
    </xdr:from>
    <xdr:ext cx="5048250" cy="2876550"/>
    <xdr:graphicFrame macro="">
      <xdr:nvGraphicFramePr>
        <xdr:cNvPr id="1914886837" name="Chart 2">
          <a:extLst>
            <a:ext uri="{FF2B5EF4-FFF2-40B4-BE49-F238E27FC236}">
              <a16:creationId xmlns:a16="http://schemas.microsoft.com/office/drawing/2014/main" id="{00000000-0008-0000-0100-0000B5DA2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9525</xdr:colOff>
      <xdr:row>20</xdr:row>
      <xdr:rowOff>66675</xdr:rowOff>
    </xdr:from>
    <xdr:ext cx="7543800" cy="1285875"/>
    <xdr:pic>
      <xdr:nvPicPr>
        <xdr:cNvPr id="2" name="image2.png" descr="simpson_rul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6450" y="4048125"/>
          <a:ext cx="7543800" cy="1285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</xdr:row>
      <xdr:rowOff>19050</xdr:rowOff>
    </xdr:from>
    <xdr:ext cx="4962525" cy="3276600"/>
    <xdr:graphicFrame macro="">
      <xdr:nvGraphicFramePr>
        <xdr:cNvPr id="803469977" name="Chart 3">
          <a:extLst>
            <a:ext uri="{FF2B5EF4-FFF2-40B4-BE49-F238E27FC236}">
              <a16:creationId xmlns:a16="http://schemas.microsoft.com/office/drawing/2014/main" id="{00000000-0008-0000-0200-000099FA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352425</xdr:colOff>
      <xdr:row>23</xdr:row>
      <xdr:rowOff>0</xdr:rowOff>
    </xdr:from>
    <xdr:ext cx="5276850" cy="4343400"/>
    <xdr:graphicFrame macro="">
      <xdr:nvGraphicFramePr>
        <xdr:cNvPr id="1510020904" name="Chart 4">
          <a:extLst>
            <a:ext uri="{FF2B5EF4-FFF2-40B4-BE49-F238E27FC236}">
              <a16:creationId xmlns:a16="http://schemas.microsoft.com/office/drawing/2014/main" id="{00000000-0008-0000-0200-000028170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381000</xdr:colOff>
      <xdr:row>0</xdr:row>
      <xdr:rowOff>104775</xdr:rowOff>
    </xdr:from>
    <xdr:ext cx="5838825" cy="4076700"/>
    <xdr:graphicFrame macro="">
      <xdr:nvGraphicFramePr>
        <xdr:cNvPr id="989182684" name="Chart 5">
          <a:extLst>
            <a:ext uri="{FF2B5EF4-FFF2-40B4-BE49-F238E27FC236}">
              <a16:creationId xmlns:a16="http://schemas.microsoft.com/office/drawing/2014/main" id="{00000000-0008-0000-0300-0000DCBAF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238125</xdr:colOff>
      <xdr:row>28</xdr:row>
      <xdr:rowOff>152400</xdr:rowOff>
    </xdr:from>
    <xdr:ext cx="5305425" cy="4886325"/>
    <xdr:graphicFrame macro="">
      <xdr:nvGraphicFramePr>
        <xdr:cNvPr id="65549652" name="Chart 6">
          <a:extLst>
            <a:ext uri="{FF2B5EF4-FFF2-40B4-BE49-F238E27FC236}">
              <a16:creationId xmlns:a16="http://schemas.microsoft.com/office/drawing/2014/main" id="{00000000-0008-0000-0300-00005435E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190500</xdr:colOff>
      <xdr:row>22</xdr:row>
      <xdr:rowOff>85725</xdr:rowOff>
    </xdr:from>
    <xdr:ext cx="7839075" cy="923925"/>
    <xdr:pic>
      <xdr:nvPicPr>
        <xdr:cNvPr id="2" name="image1.png" descr="distribucionT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25175" y="4476750"/>
          <a:ext cx="7839075" cy="923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A5" sqref="A5"/>
    </sheetView>
  </sheetViews>
  <sheetFormatPr baseColWidth="10" defaultColWidth="11.25" defaultRowHeight="15" customHeight="1" x14ac:dyDescent="0.25"/>
  <cols>
    <col min="1" max="1" width="13.625" customWidth="1"/>
    <col min="2" max="2" width="17.75" customWidth="1"/>
    <col min="3" max="3" width="17.5" customWidth="1"/>
    <col min="4" max="4" width="15.75" customWidth="1"/>
    <col min="5" max="5" width="10.625" customWidth="1"/>
    <col min="6" max="6" width="15.875" customWidth="1"/>
    <col min="7" max="26" width="10.625" customWidth="1"/>
  </cols>
  <sheetData>
    <row r="1" spans="1:6" ht="16.5" thickBot="1" x14ac:dyDescent="0.3">
      <c r="A1" s="5" t="s">
        <v>19</v>
      </c>
      <c r="B1" s="6" t="s">
        <v>0</v>
      </c>
      <c r="C1" s="6">
        <v>0</v>
      </c>
    </row>
    <row r="2" spans="1:6" ht="16.5" thickBot="1" x14ac:dyDescent="0.3">
      <c r="A2" s="5" t="s">
        <v>20</v>
      </c>
      <c r="B2" s="6" t="s">
        <v>1</v>
      </c>
      <c r="C2" s="6">
        <v>4</v>
      </c>
    </row>
    <row r="3" spans="1:6" ht="16.5" thickBot="1" x14ac:dyDescent="0.3">
      <c r="A3" s="3"/>
      <c r="B3" s="4" t="s">
        <v>2</v>
      </c>
      <c r="C3" s="4">
        <v>4</v>
      </c>
    </row>
    <row r="4" spans="1:6" ht="15" customHeight="1" thickBot="1" x14ac:dyDescent="0.3"/>
    <row r="5" spans="1:6" ht="16.5" thickBot="1" x14ac:dyDescent="0.3">
      <c r="A5" s="8" t="s">
        <v>21</v>
      </c>
      <c r="B5" s="10" t="s">
        <v>3</v>
      </c>
      <c r="C5" s="9">
        <f>(C2-C1)/C3</f>
        <v>1</v>
      </c>
      <c r="E5" s="10" t="s">
        <v>4</v>
      </c>
      <c r="F5" s="9">
        <f>(C2-C1)/(3*C3)</f>
        <v>0.33333333333333331</v>
      </c>
    </row>
    <row r="6" spans="1:6" ht="15" customHeight="1" thickBot="1" x14ac:dyDescent="0.3"/>
    <row r="7" spans="1:6" ht="16.5" thickBot="1" x14ac:dyDescent="0.3">
      <c r="B7" s="11" t="s">
        <v>5</v>
      </c>
      <c r="C7" s="11" t="s">
        <v>6</v>
      </c>
    </row>
    <row r="8" spans="1:6" ht="16.5" thickBot="1" x14ac:dyDescent="0.3">
      <c r="B8" s="12"/>
      <c r="C8" s="13"/>
      <c r="D8" s="15" t="s">
        <v>24</v>
      </c>
      <c r="E8" s="15" t="s">
        <v>7</v>
      </c>
      <c r="F8" s="15"/>
    </row>
    <row r="9" spans="1:6" ht="16.5" thickBot="1" x14ac:dyDescent="0.3">
      <c r="B9" s="12">
        <v>0</v>
      </c>
      <c r="C9" s="14">
        <f t="shared" ref="C9:C13" si="0">2*B9</f>
        <v>0</v>
      </c>
      <c r="D9" s="16">
        <v>1</v>
      </c>
      <c r="E9" s="17">
        <f t="shared" ref="E9:E13" si="1">C9*D9</f>
        <v>0</v>
      </c>
      <c r="F9" s="18">
        <f t="shared" ref="F9:F13" si="2">E9*$F$5</f>
        <v>0</v>
      </c>
    </row>
    <row r="10" spans="1:6" ht="16.5" thickBot="1" x14ac:dyDescent="0.3">
      <c r="B10" s="12">
        <f t="shared" ref="B10:B13" si="3">B9+$C$5</f>
        <v>1</v>
      </c>
      <c r="C10" s="14">
        <f t="shared" si="0"/>
        <v>2</v>
      </c>
      <c r="D10" s="19">
        <v>4</v>
      </c>
      <c r="E10" s="17">
        <f t="shared" si="1"/>
        <v>8</v>
      </c>
      <c r="F10" s="18">
        <f t="shared" si="2"/>
        <v>2.6666666666666665</v>
      </c>
    </row>
    <row r="11" spans="1:6" ht="16.5" thickBot="1" x14ac:dyDescent="0.3">
      <c r="B11" s="12">
        <f t="shared" si="3"/>
        <v>2</v>
      </c>
      <c r="C11" s="14">
        <f t="shared" si="0"/>
        <v>4</v>
      </c>
      <c r="D11" s="19">
        <v>2</v>
      </c>
      <c r="E11" s="17">
        <f t="shared" si="1"/>
        <v>8</v>
      </c>
      <c r="F11" s="18">
        <f t="shared" si="2"/>
        <v>2.6666666666666665</v>
      </c>
    </row>
    <row r="12" spans="1:6" ht="16.5" thickBot="1" x14ac:dyDescent="0.3">
      <c r="B12" s="12">
        <f t="shared" si="3"/>
        <v>3</v>
      </c>
      <c r="C12" s="14">
        <f t="shared" si="0"/>
        <v>6</v>
      </c>
      <c r="D12" s="19">
        <v>4</v>
      </c>
      <c r="E12" s="17">
        <f t="shared" si="1"/>
        <v>24</v>
      </c>
      <c r="F12" s="18">
        <f t="shared" si="2"/>
        <v>8</v>
      </c>
    </row>
    <row r="13" spans="1:6" ht="16.5" thickBot="1" x14ac:dyDescent="0.3">
      <c r="B13" s="12">
        <f t="shared" si="3"/>
        <v>4</v>
      </c>
      <c r="C13" s="14">
        <f t="shared" si="0"/>
        <v>8</v>
      </c>
      <c r="D13" s="16">
        <v>1</v>
      </c>
      <c r="E13" s="17">
        <f t="shared" si="1"/>
        <v>8</v>
      </c>
      <c r="F13" s="18">
        <f t="shared" si="2"/>
        <v>2.6666666666666665</v>
      </c>
    </row>
    <row r="14" spans="1:6" ht="16.5" thickBot="1" x14ac:dyDescent="0.3">
      <c r="C14" s="1" t="s">
        <v>8</v>
      </c>
    </row>
    <row r="15" spans="1:6" ht="16.5" thickBot="1" x14ac:dyDescent="0.3">
      <c r="D15" s="15" t="s">
        <v>23</v>
      </c>
      <c r="E15" s="20">
        <f t="shared" ref="E15:F15" si="4">SUM(E9:E13)</f>
        <v>48</v>
      </c>
      <c r="F15" s="21">
        <f t="shared" si="4"/>
        <v>15.999999999999998</v>
      </c>
    </row>
    <row r="16" spans="1:6" ht="16.5" thickBot="1" x14ac:dyDescent="0.3">
      <c r="D16" s="1" t="s">
        <v>8</v>
      </c>
      <c r="E16" s="1"/>
      <c r="F16" s="1" t="s">
        <v>8</v>
      </c>
    </row>
    <row r="17" spans="3:7" ht="16.5" thickBot="1" x14ac:dyDescent="0.3">
      <c r="C17" s="22" t="s">
        <v>22</v>
      </c>
      <c r="D17" s="23" t="s">
        <v>9</v>
      </c>
      <c r="E17" s="23" t="s">
        <v>10</v>
      </c>
      <c r="F17" s="23">
        <v>16</v>
      </c>
      <c r="G17" s="23">
        <v>4</v>
      </c>
    </row>
    <row r="18" spans="3:7" ht="16.5" thickBot="1" x14ac:dyDescent="0.3">
      <c r="C18" s="24"/>
      <c r="D18" s="25"/>
      <c r="E18" s="25"/>
      <c r="F18" s="23">
        <v>0</v>
      </c>
      <c r="G18" s="23">
        <v>0</v>
      </c>
    </row>
    <row r="19" spans="3:7" ht="16.5" thickBot="1" x14ac:dyDescent="0.3">
      <c r="F19" s="26">
        <f>F17-F18</f>
        <v>16</v>
      </c>
    </row>
    <row r="20" spans="3:7" ht="15.75" x14ac:dyDescent="0.25">
      <c r="F20" s="1" t="s">
        <v>8</v>
      </c>
    </row>
    <row r="21" spans="3:7" ht="15.75" customHeight="1" x14ac:dyDescent="0.25">
      <c r="F21" s="1" t="s">
        <v>8</v>
      </c>
    </row>
    <row r="22" spans="3:7" ht="15.75" customHeight="1" x14ac:dyDescent="0.25"/>
    <row r="23" spans="3:7" ht="15.75" customHeight="1" x14ac:dyDescent="0.25"/>
    <row r="24" spans="3:7" ht="15.75" customHeight="1" x14ac:dyDescent="0.25"/>
    <row r="25" spans="3:7" ht="15.75" customHeight="1" x14ac:dyDescent="0.25"/>
    <row r="26" spans="3:7" ht="15.75" customHeight="1" x14ac:dyDescent="0.25"/>
    <row r="27" spans="3:7" ht="15.75" customHeight="1" x14ac:dyDescent="0.25"/>
    <row r="28" spans="3:7" ht="15.75" customHeight="1" x14ac:dyDescent="0.25"/>
    <row r="29" spans="3:7" ht="15.75" customHeight="1" x14ac:dyDescent="0.25"/>
    <row r="30" spans="3:7" ht="15.75" customHeight="1" x14ac:dyDescent="0.25"/>
    <row r="31" spans="3:7" ht="15.75" customHeight="1" x14ac:dyDescent="0.25"/>
    <row r="32" spans="3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16" sqref="D16"/>
    </sheetView>
  </sheetViews>
  <sheetFormatPr baseColWidth="10" defaultColWidth="11.25" defaultRowHeight="15" customHeight="1" x14ac:dyDescent="0.25"/>
  <cols>
    <col min="1" max="1" width="10.625" customWidth="1"/>
    <col min="2" max="2" width="16.5" customWidth="1"/>
    <col min="3" max="3" width="10.625" customWidth="1"/>
    <col min="4" max="4" width="16.25" customWidth="1"/>
    <col min="5" max="5" width="17.375" customWidth="1"/>
    <col min="6" max="26" width="10.625" customWidth="1"/>
  </cols>
  <sheetData>
    <row r="1" spans="1:6" ht="16.5" thickBot="1" x14ac:dyDescent="0.3">
      <c r="A1" s="28" t="s">
        <v>19</v>
      </c>
      <c r="B1" s="29" t="s">
        <v>0</v>
      </c>
      <c r="C1" s="29">
        <v>0</v>
      </c>
    </row>
    <row r="2" spans="1:6" ht="16.5" thickBot="1" x14ac:dyDescent="0.3">
      <c r="A2" s="28" t="s">
        <v>20</v>
      </c>
      <c r="B2" s="30" t="s">
        <v>1</v>
      </c>
      <c r="C2" s="30">
        <v>1</v>
      </c>
    </row>
    <row r="3" spans="1:6" ht="16.5" thickBot="1" x14ac:dyDescent="0.3">
      <c r="A3" s="31"/>
      <c r="B3" s="30" t="s">
        <v>2</v>
      </c>
      <c r="C3" s="30">
        <v>4</v>
      </c>
    </row>
    <row r="4" spans="1:6" ht="15" customHeight="1" thickBot="1" x14ac:dyDescent="0.3"/>
    <row r="5" spans="1:6" ht="16.5" thickBot="1" x14ac:dyDescent="0.3">
      <c r="B5" s="10" t="s">
        <v>3</v>
      </c>
      <c r="C5" s="32">
        <f>(C2-C1)/C3</f>
        <v>0.25</v>
      </c>
      <c r="E5" s="10" t="s">
        <v>4</v>
      </c>
      <c r="F5" s="32">
        <f>(C2-C1)/(3*C3)</f>
        <v>8.3333333333333329E-2</v>
      </c>
    </row>
    <row r="6" spans="1:6" ht="16.5" thickBot="1" x14ac:dyDescent="0.3">
      <c r="E6" s="1" t="s">
        <v>8</v>
      </c>
      <c r="F6" s="1" t="s">
        <v>8</v>
      </c>
    </row>
    <row r="7" spans="1:6" ht="16.5" thickBot="1" x14ac:dyDescent="0.3">
      <c r="B7" s="11" t="s">
        <v>28</v>
      </c>
      <c r="C7" s="48" t="s">
        <v>26</v>
      </c>
      <c r="D7" s="15" t="s">
        <v>24</v>
      </c>
      <c r="E7" s="15" t="s">
        <v>25</v>
      </c>
      <c r="F7" s="39"/>
    </row>
    <row r="8" spans="1:6" ht="16.5" thickBot="1" x14ac:dyDescent="0.3">
      <c r="B8" s="34"/>
      <c r="C8" s="35"/>
      <c r="D8" s="19"/>
      <c r="E8" s="19"/>
      <c r="F8" s="19"/>
    </row>
    <row r="9" spans="1:6" ht="16.5" thickBot="1" x14ac:dyDescent="0.3">
      <c r="B9" s="34">
        <v>0</v>
      </c>
      <c r="C9" s="36">
        <f t="shared" ref="C9:C13" si="0">B9^2</f>
        <v>0</v>
      </c>
      <c r="D9" s="16">
        <v>1</v>
      </c>
      <c r="E9" s="17">
        <f t="shared" ref="E9:E13" si="1">D9*C9</f>
        <v>0</v>
      </c>
      <c r="F9" s="40">
        <f t="shared" ref="F9:F13" si="2">E9*$F$5</f>
        <v>0</v>
      </c>
    </row>
    <row r="10" spans="1:6" ht="16.5" thickBot="1" x14ac:dyDescent="0.3">
      <c r="B10" s="34">
        <f t="shared" ref="B10:B13" si="3">B9+$C$5</f>
        <v>0.25</v>
      </c>
      <c r="C10" s="36">
        <f t="shared" si="0"/>
        <v>6.25E-2</v>
      </c>
      <c r="D10" s="19">
        <v>4</v>
      </c>
      <c r="E10" s="17">
        <f t="shared" si="1"/>
        <v>0.25</v>
      </c>
      <c r="F10" s="40">
        <f t="shared" si="2"/>
        <v>2.0833333333333332E-2</v>
      </c>
    </row>
    <row r="11" spans="1:6" ht="16.5" thickBot="1" x14ac:dyDescent="0.3">
      <c r="B11" s="34">
        <f t="shared" si="3"/>
        <v>0.5</v>
      </c>
      <c r="C11" s="36">
        <f t="shared" si="0"/>
        <v>0.25</v>
      </c>
      <c r="D11" s="19">
        <v>2</v>
      </c>
      <c r="E11" s="17">
        <f t="shared" si="1"/>
        <v>0.5</v>
      </c>
      <c r="F11" s="40">
        <f t="shared" si="2"/>
        <v>4.1666666666666664E-2</v>
      </c>
    </row>
    <row r="12" spans="1:6" ht="16.5" thickBot="1" x14ac:dyDescent="0.3">
      <c r="B12" s="34">
        <f t="shared" si="3"/>
        <v>0.75</v>
      </c>
      <c r="C12" s="36">
        <f t="shared" si="0"/>
        <v>0.5625</v>
      </c>
      <c r="D12" s="19">
        <v>4</v>
      </c>
      <c r="E12" s="17">
        <f t="shared" si="1"/>
        <v>2.25</v>
      </c>
      <c r="F12" s="40">
        <f t="shared" si="2"/>
        <v>0.1875</v>
      </c>
    </row>
    <row r="13" spans="1:6" ht="16.5" thickBot="1" x14ac:dyDescent="0.3">
      <c r="B13" s="33">
        <f t="shared" si="3"/>
        <v>1</v>
      </c>
      <c r="C13" s="37">
        <f t="shared" si="0"/>
        <v>1</v>
      </c>
      <c r="D13" s="41">
        <v>1</v>
      </c>
      <c r="E13" s="17">
        <f t="shared" si="1"/>
        <v>1</v>
      </c>
      <c r="F13" s="40">
        <f t="shared" si="2"/>
        <v>8.3333333333333329E-2</v>
      </c>
    </row>
    <row r="14" spans="1:6" ht="15" customHeight="1" thickBot="1" x14ac:dyDescent="0.3">
      <c r="C14" s="38"/>
      <c r="D14" s="42"/>
      <c r="E14" s="42"/>
      <c r="F14" s="42"/>
    </row>
    <row r="15" spans="1:6" ht="16.5" thickBot="1" x14ac:dyDescent="0.3">
      <c r="C15" s="38"/>
      <c r="D15" s="47" t="s">
        <v>23</v>
      </c>
      <c r="E15" s="45">
        <f t="shared" ref="E15:F15" si="4">SUM(E9:E13)</f>
        <v>4</v>
      </c>
      <c r="F15" s="46">
        <f t="shared" si="4"/>
        <v>0.33333333333333331</v>
      </c>
    </row>
    <row r="16" spans="1:6" ht="16.5" thickBot="1" x14ac:dyDescent="0.3">
      <c r="D16" s="22" t="s">
        <v>13</v>
      </c>
      <c r="E16" s="43" t="s">
        <v>27</v>
      </c>
      <c r="F16" s="1" t="s">
        <v>8</v>
      </c>
    </row>
    <row r="17" spans="4:6" ht="16.5" thickBot="1" x14ac:dyDescent="0.3">
      <c r="D17" s="22" t="s">
        <v>11</v>
      </c>
      <c r="E17" s="23">
        <v>1</v>
      </c>
      <c r="F17" s="44" t="s">
        <v>12</v>
      </c>
    </row>
    <row r="18" spans="4:6" ht="16.5" thickBot="1" x14ac:dyDescent="0.3">
      <c r="D18" s="1" t="s">
        <v>8</v>
      </c>
      <c r="E18" s="1" t="s">
        <v>8</v>
      </c>
      <c r="F18" s="2" t="s">
        <v>8</v>
      </c>
    </row>
    <row r="19" spans="4:6" ht="16.5" thickBot="1" x14ac:dyDescent="0.3">
      <c r="F19" s="26">
        <f>1/3</f>
        <v>0.33333333333333331</v>
      </c>
    </row>
    <row r="20" spans="4:6" ht="15.75" x14ac:dyDescent="0.25">
      <c r="F20" s="1" t="s">
        <v>8</v>
      </c>
    </row>
    <row r="21" spans="4:6" ht="15.75" customHeight="1" x14ac:dyDescent="0.25">
      <c r="F21" s="1" t="s">
        <v>8</v>
      </c>
    </row>
    <row r="22" spans="4:6" ht="15.75" customHeight="1" x14ac:dyDescent="0.25"/>
    <row r="23" spans="4:6" ht="15.75" customHeight="1" x14ac:dyDescent="0.25"/>
    <row r="24" spans="4:6" ht="15.75" customHeight="1" x14ac:dyDescent="0.25"/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3" workbookViewId="0">
      <selection activeCell="H20" sqref="H20"/>
    </sheetView>
  </sheetViews>
  <sheetFormatPr baseColWidth="10" defaultColWidth="11.25" defaultRowHeight="15" customHeight="1" x14ac:dyDescent="0.25"/>
  <cols>
    <col min="1" max="1" width="10.625" customWidth="1"/>
    <col min="2" max="2" width="15.875" customWidth="1"/>
    <col min="3" max="3" width="10.625" customWidth="1"/>
    <col min="4" max="4" width="16.125" customWidth="1"/>
    <col min="5" max="5" width="17.75" customWidth="1"/>
    <col min="6" max="6" width="15.25" customWidth="1"/>
    <col min="7" max="26" width="10.625" customWidth="1"/>
  </cols>
  <sheetData>
    <row r="1" spans="1:6" ht="16.5" thickBot="1" x14ac:dyDescent="0.3">
      <c r="A1" s="28" t="s">
        <v>29</v>
      </c>
      <c r="B1" s="51" t="s">
        <v>0</v>
      </c>
      <c r="C1" s="51">
        <v>1</v>
      </c>
    </row>
    <row r="2" spans="1:6" ht="16.5" thickBot="1" x14ac:dyDescent="0.3">
      <c r="A2" s="28" t="s">
        <v>30</v>
      </c>
      <c r="B2" s="52" t="s">
        <v>1</v>
      </c>
      <c r="C2" s="52">
        <v>4</v>
      </c>
    </row>
    <row r="3" spans="1:6" ht="16.5" thickBot="1" x14ac:dyDescent="0.3">
      <c r="A3" s="31"/>
      <c r="B3" s="52" t="s">
        <v>2</v>
      </c>
      <c r="C3" s="52">
        <v>6</v>
      </c>
      <c r="F3" s="1" t="s">
        <v>8</v>
      </c>
    </row>
    <row r="4" spans="1:6" ht="15" customHeight="1" thickBot="1" x14ac:dyDescent="0.3"/>
    <row r="5" spans="1:6" ht="16.5" thickBot="1" x14ac:dyDescent="0.3">
      <c r="B5" s="10" t="s">
        <v>3</v>
      </c>
      <c r="C5" s="32">
        <f>(C2-C1)/C3</f>
        <v>0.5</v>
      </c>
      <c r="E5" s="10" t="s">
        <v>4</v>
      </c>
      <c r="F5" s="32">
        <f>(C2-C1)/(3*C3)</f>
        <v>0.16666666666666666</v>
      </c>
    </row>
    <row r="6" spans="1:6" ht="16.5" thickBot="1" x14ac:dyDescent="0.3">
      <c r="E6" s="1" t="s">
        <v>8</v>
      </c>
      <c r="F6" s="1" t="s">
        <v>8</v>
      </c>
    </row>
    <row r="7" spans="1:6" ht="16.5" thickBot="1" x14ac:dyDescent="0.3">
      <c r="B7" s="55" t="s">
        <v>28</v>
      </c>
      <c r="C7" s="55" t="s">
        <v>31</v>
      </c>
    </row>
    <row r="8" spans="1:6" ht="16.5" thickBot="1" x14ac:dyDescent="0.3">
      <c r="B8" s="56"/>
      <c r="C8" s="60"/>
      <c r="D8" s="15" t="s">
        <v>24</v>
      </c>
      <c r="E8" s="15" t="s">
        <v>35</v>
      </c>
      <c r="F8" s="39"/>
    </row>
    <row r="9" spans="1:6" ht="16.5" thickBot="1" x14ac:dyDescent="0.3">
      <c r="B9" s="57">
        <v>1</v>
      </c>
      <c r="C9" s="61">
        <f t="shared" ref="C9:C15" si="0">1/B9</f>
        <v>1</v>
      </c>
      <c r="D9" s="64">
        <v>1</v>
      </c>
      <c r="E9" s="65">
        <f t="shared" ref="E9:E15" si="1">D9*C9</f>
        <v>1</v>
      </c>
      <c r="F9" s="18">
        <f t="shared" ref="F9:F15" si="2">D9*C9*$F$5</f>
        <v>0.16666666666666666</v>
      </c>
    </row>
    <row r="10" spans="1:6" ht="16.5" thickBot="1" x14ac:dyDescent="0.3">
      <c r="B10" s="57">
        <f t="shared" ref="B10:B15" si="3">B9+$C$5</f>
        <v>1.5</v>
      </c>
      <c r="C10" s="61">
        <f t="shared" si="0"/>
        <v>0.66666666666666663</v>
      </c>
      <c r="D10" s="66">
        <v>4</v>
      </c>
      <c r="E10" s="65">
        <f t="shared" si="1"/>
        <v>2.6666666666666665</v>
      </c>
      <c r="F10" s="18">
        <f t="shared" si="2"/>
        <v>0.44444444444444442</v>
      </c>
    </row>
    <row r="11" spans="1:6" ht="16.5" thickBot="1" x14ac:dyDescent="0.3">
      <c r="B11" s="57">
        <f t="shared" si="3"/>
        <v>2</v>
      </c>
      <c r="C11" s="61">
        <f t="shared" si="0"/>
        <v>0.5</v>
      </c>
      <c r="D11" s="66">
        <v>2</v>
      </c>
      <c r="E11" s="65">
        <f t="shared" si="1"/>
        <v>1</v>
      </c>
      <c r="F11" s="18">
        <f t="shared" si="2"/>
        <v>0.16666666666666666</v>
      </c>
    </row>
    <row r="12" spans="1:6" ht="16.5" thickBot="1" x14ac:dyDescent="0.3">
      <c r="B12" s="57">
        <f t="shared" si="3"/>
        <v>2.5</v>
      </c>
      <c r="C12" s="61">
        <f t="shared" si="0"/>
        <v>0.4</v>
      </c>
      <c r="D12" s="66">
        <v>4</v>
      </c>
      <c r="E12" s="65">
        <f t="shared" si="1"/>
        <v>1.6</v>
      </c>
      <c r="F12" s="18">
        <f t="shared" si="2"/>
        <v>0.26666666666666666</v>
      </c>
    </row>
    <row r="13" spans="1:6" ht="16.5" thickBot="1" x14ac:dyDescent="0.3">
      <c r="B13" s="57">
        <f t="shared" si="3"/>
        <v>3</v>
      </c>
      <c r="C13" s="61">
        <f t="shared" si="0"/>
        <v>0.33333333333333331</v>
      </c>
      <c r="D13" s="66">
        <v>2</v>
      </c>
      <c r="E13" s="65">
        <f t="shared" si="1"/>
        <v>0.66666666666666663</v>
      </c>
      <c r="F13" s="18">
        <f t="shared" si="2"/>
        <v>0.1111111111111111</v>
      </c>
    </row>
    <row r="14" spans="1:6" ht="16.5" thickBot="1" x14ac:dyDescent="0.3">
      <c r="B14" s="57">
        <f t="shared" si="3"/>
        <v>3.5</v>
      </c>
      <c r="C14" s="61">
        <f t="shared" si="0"/>
        <v>0.2857142857142857</v>
      </c>
      <c r="D14" s="66">
        <v>4</v>
      </c>
      <c r="E14" s="65">
        <f t="shared" si="1"/>
        <v>1.1428571428571428</v>
      </c>
      <c r="F14" s="18">
        <f t="shared" si="2"/>
        <v>0.19047619047619047</v>
      </c>
    </row>
    <row r="15" spans="1:6" ht="16.5" thickBot="1" x14ac:dyDescent="0.3">
      <c r="B15" s="57">
        <f t="shared" si="3"/>
        <v>4</v>
      </c>
      <c r="C15" s="61">
        <f t="shared" si="0"/>
        <v>0.25</v>
      </c>
      <c r="D15" s="67">
        <v>1</v>
      </c>
      <c r="E15" s="65">
        <f t="shared" si="1"/>
        <v>0.25</v>
      </c>
      <c r="F15" s="18">
        <f t="shared" si="2"/>
        <v>4.1666666666666664E-2</v>
      </c>
    </row>
    <row r="16" spans="1:6" ht="16.5" thickBot="1" x14ac:dyDescent="0.3">
      <c r="C16" s="38"/>
      <c r="D16" s="42"/>
      <c r="E16" s="42"/>
      <c r="F16" s="68" t="s">
        <v>8</v>
      </c>
    </row>
    <row r="17" spans="1:12" ht="16.5" thickBot="1" x14ac:dyDescent="0.3">
      <c r="C17" s="38"/>
      <c r="D17" s="15" t="s">
        <v>23</v>
      </c>
      <c r="E17" s="20">
        <f>SUM(E9:E14)</f>
        <v>8.0761904761904759</v>
      </c>
      <c r="F17" s="21">
        <f>SUM(F9:F15)</f>
        <v>1.3876984126984127</v>
      </c>
    </row>
    <row r="18" spans="1:12" ht="16.5" thickBot="1" x14ac:dyDescent="0.3">
      <c r="C18" s="24"/>
      <c r="D18" s="62" t="s">
        <v>13</v>
      </c>
      <c r="E18" s="38"/>
      <c r="F18" s="63" t="s">
        <v>8</v>
      </c>
    </row>
    <row r="19" spans="1:12" ht="16.5" thickBot="1" x14ac:dyDescent="0.3">
      <c r="C19" s="22" t="s">
        <v>32</v>
      </c>
      <c r="D19" s="49" t="s">
        <v>14</v>
      </c>
      <c r="E19" s="38"/>
    </row>
    <row r="20" spans="1:12" ht="16.5" thickBot="1" x14ac:dyDescent="0.3">
      <c r="D20" s="23">
        <v>4</v>
      </c>
      <c r="E20" s="50">
        <f>LN(4)</f>
        <v>1.3862943611198906</v>
      </c>
      <c r="H20" s="69" t="s">
        <v>34</v>
      </c>
      <c r="I20" s="69"/>
      <c r="J20" s="69"/>
      <c r="K20" s="70" t="s">
        <v>15</v>
      </c>
      <c r="L20" s="69"/>
    </row>
    <row r="21" spans="1:12" ht="15.75" customHeight="1" thickBot="1" x14ac:dyDescent="0.3">
      <c r="H21" s="71">
        <v>1</v>
      </c>
      <c r="I21" s="72">
        <f>F17</f>
        <v>1.3876984126984127</v>
      </c>
      <c r="J21" s="72"/>
      <c r="K21" s="73">
        <v>1E-3</v>
      </c>
      <c r="L21" s="71">
        <f>ABS(I22-I21)</f>
        <v>1.2899137899138324E-3</v>
      </c>
    </row>
    <row r="22" spans="1:12" ht="15.75" customHeight="1" thickBot="1" x14ac:dyDescent="0.3">
      <c r="F22" s="1" t="s">
        <v>8</v>
      </c>
      <c r="H22" s="71">
        <v>2</v>
      </c>
      <c r="I22" s="72">
        <f>F45</f>
        <v>1.3864084989084988</v>
      </c>
      <c r="J22" s="72"/>
      <c r="K22" s="72"/>
      <c r="L22" s="72"/>
    </row>
    <row r="23" spans="1:12" ht="15.75" customHeight="1" thickBot="1" x14ac:dyDescent="0.3">
      <c r="A23" s="28" t="s">
        <v>19</v>
      </c>
      <c r="B23" s="51" t="s">
        <v>0</v>
      </c>
      <c r="C23" s="53">
        <v>1</v>
      </c>
      <c r="H23" s="74">
        <v>3</v>
      </c>
      <c r="I23" s="75"/>
      <c r="J23" s="75"/>
      <c r="K23" s="75"/>
      <c r="L23" s="75"/>
    </row>
    <row r="24" spans="1:12" ht="15.75" customHeight="1" thickBot="1" x14ac:dyDescent="0.3">
      <c r="A24" s="28" t="s">
        <v>20</v>
      </c>
      <c r="B24" s="52" t="s">
        <v>1</v>
      </c>
      <c r="C24" s="54">
        <v>4</v>
      </c>
    </row>
    <row r="25" spans="1:12" ht="15.75" customHeight="1" thickBot="1" x14ac:dyDescent="0.3">
      <c r="A25" s="28"/>
      <c r="B25" s="52" t="s">
        <v>2</v>
      </c>
      <c r="C25" s="54">
        <v>12</v>
      </c>
      <c r="F25" s="1" t="s">
        <v>8</v>
      </c>
    </row>
    <row r="26" spans="1:12" ht="15.75" customHeight="1" thickBot="1" x14ac:dyDescent="0.3"/>
    <row r="27" spans="1:12" ht="15.75" customHeight="1" thickBot="1" x14ac:dyDescent="0.3">
      <c r="B27" s="10" t="s">
        <v>3</v>
      </c>
      <c r="C27" s="32">
        <f>(C24-C23)/C25</f>
        <v>0.25</v>
      </c>
      <c r="E27" s="10" t="s">
        <v>4</v>
      </c>
      <c r="F27" s="32">
        <f>(C24-C23)/(3*C25)</f>
        <v>8.3333333333333329E-2</v>
      </c>
    </row>
    <row r="28" spans="1:12" ht="15.75" customHeight="1" thickBot="1" x14ac:dyDescent="0.3">
      <c r="E28" s="1" t="s">
        <v>8</v>
      </c>
      <c r="F28" s="1" t="s">
        <v>8</v>
      </c>
    </row>
    <row r="29" spans="1:12" ht="15.75" customHeight="1" thickBot="1" x14ac:dyDescent="0.3">
      <c r="A29" s="55" t="s">
        <v>33</v>
      </c>
      <c r="B29" s="55" t="s">
        <v>28</v>
      </c>
      <c r="C29" s="55" t="s">
        <v>31</v>
      </c>
    </row>
    <row r="30" spans="1:12" ht="15.75" customHeight="1" thickBot="1" x14ac:dyDescent="0.3">
      <c r="A30" s="56"/>
      <c r="B30" s="56"/>
      <c r="C30" s="60"/>
      <c r="D30" s="15" t="s">
        <v>24</v>
      </c>
      <c r="E30" s="15" t="s">
        <v>35</v>
      </c>
      <c r="F30" s="39"/>
    </row>
    <row r="31" spans="1:12" ht="15.75" customHeight="1" thickBot="1" x14ac:dyDescent="0.3">
      <c r="A31" s="59"/>
      <c r="B31" s="57">
        <v>1</v>
      </c>
      <c r="C31" s="61">
        <f t="shared" ref="C31:C43" si="4">1/B31</f>
        <v>1</v>
      </c>
      <c r="D31" s="64">
        <v>1</v>
      </c>
      <c r="E31" s="65">
        <f t="shared" ref="E31:E43" si="5">D31*C31</f>
        <v>1</v>
      </c>
      <c r="F31" s="18">
        <f t="shared" ref="F31:F43" si="6">D31*C31*$F$27</f>
        <v>8.3333333333333329E-2</v>
      </c>
    </row>
    <row r="32" spans="1:12" ht="15.75" customHeight="1" thickBot="1" x14ac:dyDescent="0.3">
      <c r="A32" s="57">
        <v>1</v>
      </c>
      <c r="B32" s="57">
        <f t="shared" ref="B32:B43" si="7">B31+$C$27</f>
        <v>1.25</v>
      </c>
      <c r="C32" s="61">
        <f t="shared" si="4"/>
        <v>0.8</v>
      </c>
      <c r="D32" s="64">
        <v>4</v>
      </c>
      <c r="E32" s="65">
        <f t="shared" si="5"/>
        <v>3.2</v>
      </c>
      <c r="F32" s="18">
        <f t="shared" si="6"/>
        <v>0.26666666666666666</v>
      </c>
    </row>
    <row r="33" spans="1:6" ht="15.75" customHeight="1" thickBot="1" x14ac:dyDescent="0.3">
      <c r="A33" s="57">
        <f t="shared" ref="A33:A43" si="8">A32+1</f>
        <v>2</v>
      </c>
      <c r="B33" s="57">
        <f t="shared" si="7"/>
        <v>1.5</v>
      </c>
      <c r="C33" s="61">
        <f t="shared" si="4"/>
        <v>0.66666666666666663</v>
      </c>
      <c r="D33" s="64">
        <v>2</v>
      </c>
      <c r="E33" s="65">
        <f t="shared" si="5"/>
        <v>1.3333333333333333</v>
      </c>
      <c r="F33" s="18">
        <f t="shared" si="6"/>
        <v>0.1111111111111111</v>
      </c>
    </row>
    <row r="34" spans="1:6" ht="15.75" customHeight="1" thickBot="1" x14ac:dyDescent="0.3">
      <c r="A34" s="57">
        <f t="shared" si="8"/>
        <v>3</v>
      </c>
      <c r="B34" s="57">
        <f t="shared" si="7"/>
        <v>1.75</v>
      </c>
      <c r="C34" s="61">
        <f t="shared" si="4"/>
        <v>0.5714285714285714</v>
      </c>
      <c r="D34" s="64">
        <v>4</v>
      </c>
      <c r="E34" s="65">
        <f t="shared" si="5"/>
        <v>2.2857142857142856</v>
      </c>
      <c r="F34" s="18">
        <f t="shared" si="6"/>
        <v>0.19047619047619047</v>
      </c>
    </row>
    <row r="35" spans="1:6" ht="15.75" customHeight="1" thickBot="1" x14ac:dyDescent="0.3">
      <c r="A35" s="57">
        <f t="shared" si="8"/>
        <v>4</v>
      </c>
      <c r="B35" s="57">
        <f t="shared" si="7"/>
        <v>2</v>
      </c>
      <c r="C35" s="61">
        <f t="shared" si="4"/>
        <v>0.5</v>
      </c>
      <c r="D35" s="64">
        <v>2</v>
      </c>
      <c r="E35" s="65">
        <f t="shared" si="5"/>
        <v>1</v>
      </c>
      <c r="F35" s="18">
        <f t="shared" si="6"/>
        <v>8.3333333333333329E-2</v>
      </c>
    </row>
    <row r="36" spans="1:6" ht="15.75" customHeight="1" thickBot="1" x14ac:dyDescent="0.3">
      <c r="A36" s="57">
        <f t="shared" si="8"/>
        <v>5</v>
      </c>
      <c r="B36" s="57">
        <f t="shared" si="7"/>
        <v>2.25</v>
      </c>
      <c r="C36" s="61">
        <f t="shared" si="4"/>
        <v>0.44444444444444442</v>
      </c>
      <c r="D36" s="64">
        <v>4</v>
      </c>
      <c r="E36" s="65">
        <f t="shared" si="5"/>
        <v>1.7777777777777777</v>
      </c>
      <c r="F36" s="18">
        <f t="shared" si="6"/>
        <v>0.14814814814814814</v>
      </c>
    </row>
    <row r="37" spans="1:6" ht="15.75" customHeight="1" thickBot="1" x14ac:dyDescent="0.3">
      <c r="A37" s="57">
        <f t="shared" si="8"/>
        <v>6</v>
      </c>
      <c r="B37" s="57">
        <f t="shared" si="7"/>
        <v>2.5</v>
      </c>
      <c r="C37" s="61">
        <f t="shared" si="4"/>
        <v>0.4</v>
      </c>
      <c r="D37" s="64">
        <v>2</v>
      </c>
      <c r="E37" s="65">
        <f t="shared" si="5"/>
        <v>0.8</v>
      </c>
      <c r="F37" s="18">
        <f t="shared" si="6"/>
        <v>6.6666666666666666E-2</v>
      </c>
    </row>
    <row r="38" spans="1:6" ht="15.75" customHeight="1" thickBot="1" x14ac:dyDescent="0.3">
      <c r="A38" s="57">
        <f t="shared" si="8"/>
        <v>7</v>
      </c>
      <c r="B38" s="57">
        <f t="shared" si="7"/>
        <v>2.75</v>
      </c>
      <c r="C38" s="61">
        <f t="shared" si="4"/>
        <v>0.36363636363636365</v>
      </c>
      <c r="D38" s="66">
        <v>4</v>
      </c>
      <c r="E38" s="65">
        <f t="shared" si="5"/>
        <v>1.4545454545454546</v>
      </c>
      <c r="F38" s="18">
        <f t="shared" si="6"/>
        <v>0.12121212121212122</v>
      </c>
    </row>
    <row r="39" spans="1:6" ht="15.75" customHeight="1" thickBot="1" x14ac:dyDescent="0.3">
      <c r="A39" s="57">
        <f t="shared" si="8"/>
        <v>8</v>
      </c>
      <c r="B39" s="57">
        <f t="shared" si="7"/>
        <v>3</v>
      </c>
      <c r="C39" s="61">
        <f t="shared" si="4"/>
        <v>0.33333333333333331</v>
      </c>
      <c r="D39" s="66">
        <v>2</v>
      </c>
      <c r="E39" s="65">
        <f t="shared" si="5"/>
        <v>0.66666666666666663</v>
      </c>
      <c r="F39" s="18">
        <f t="shared" si="6"/>
        <v>5.5555555555555552E-2</v>
      </c>
    </row>
    <row r="40" spans="1:6" ht="15.75" customHeight="1" thickBot="1" x14ac:dyDescent="0.3">
      <c r="A40" s="57">
        <f t="shared" si="8"/>
        <v>9</v>
      </c>
      <c r="B40" s="57">
        <f t="shared" si="7"/>
        <v>3.25</v>
      </c>
      <c r="C40" s="61">
        <f t="shared" si="4"/>
        <v>0.30769230769230771</v>
      </c>
      <c r="D40" s="66">
        <v>4</v>
      </c>
      <c r="E40" s="65">
        <f t="shared" si="5"/>
        <v>1.2307692307692308</v>
      </c>
      <c r="F40" s="18">
        <f t="shared" si="6"/>
        <v>0.10256410256410256</v>
      </c>
    </row>
    <row r="41" spans="1:6" ht="15.75" customHeight="1" thickBot="1" x14ac:dyDescent="0.3">
      <c r="A41" s="57">
        <f t="shared" si="8"/>
        <v>10</v>
      </c>
      <c r="B41" s="57">
        <f t="shared" si="7"/>
        <v>3.5</v>
      </c>
      <c r="C41" s="61">
        <f t="shared" si="4"/>
        <v>0.2857142857142857</v>
      </c>
      <c r="D41" s="66">
        <v>2</v>
      </c>
      <c r="E41" s="65">
        <f t="shared" si="5"/>
        <v>0.5714285714285714</v>
      </c>
      <c r="F41" s="18">
        <f t="shared" si="6"/>
        <v>4.7619047619047616E-2</v>
      </c>
    </row>
    <row r="42" spans="1:6" ht="15.75" customHeight="1" thickBot="1" x14ac:dyDescent="0.3">
      <c r="A42" s="57">
        <f t="shared" si="8"/>
        <v>11</v>
      </c>
      <c r="B42" s="57">
        <f t="shared" si="7"/>
        <v>3.75</v>
      </c>
      <c r="C42" s="61">
        <f t="shared" si="4"/>
        <v>0.26666666666666666</v>
      </c>
      <c r="D42" s="66">
        <v>4</v>
      </c>
      <c r="E42" s="65">
        <f t="shared" si="5"/>
        <v>1.0666666666666667</v>
      </c>
      <c r="F42" s="18">
        <f t="shared" si="6"/>
        <v>8.8888888888888878E-2</v>
      </c>
    </row>
    <row r="43" spans="1:6" ht="15.75" customHeight="1" thickBot="1" x14ac:dyDescent="0.3">
      <c r="A43" s="57">
        <f t="shared" si="8"/>
        <v>12</v>
      </c>
      <c r="B43" s="57">
        <f t="shared" si="7"/>
        <v>4</v>
      </c>
      <c r="C43" s="61">
        <f t="shared" si="4"/>
        <v>0.25</v>
      </c>
      <c r="D43" s="67">
        <v>1</v>
      </c>
      <c r="E43" s="65">
        <f t="shared" si="5"/>
        <v>0.25</v>
      </c>
      <c r="F43" s="18">
        <f t="shared" si="6"/>
        <v>2.0833333333333332E-2</v>
      </c>
    </row>
    <row r="44" spans="1:6" ht="15.75" customHeight="1" thickBot="1" x14ac:dyDescent="0.3">
      <c r="C44" s="38"/>
      <c r="D44" s="66"/>
      <c r="E44" s="18"/>
      <c r="F44" s="18" t="s">
        <v>8</v>
      </c>
    </row>
    <row r="45" spans="1:6" ht="15.75" customHeight="1" thickBot="1" x14ac:dyDescent="0.3">
      <c r="C45" s="38"/>
      <c r="D45" s="15" t="s">
        <v>23</v>
      </c>
      <c r="E45" s="20">
        <f>SUM(E31:E42)</f>
        <v>16.386901986901989</v>
      </c>
      <c r="F45" s="21">
        <f>SUM(F31:F43)</f>
        <v>1.3864084989084988</v>
      </c>
    </row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abSelected="1" workbookViewId="0">
      <selection activeCell="C58" sqref="C58"/>
    </sheetView>
  </sheetViews>
  <sheetFormatPr baseColWidth="10" defaultColWidth="11.25" defaultRowHeight="15" customHeight="1" x14ac:dyDescent="0.25"/>
  <cols>
    <col min="1" max="1" width="12.875" customWidth="1"/>
    <col min="2" max="2" width="18.625" customWidth="1"/>
    <col min="3" max="3" width="14.25" customWidth="1"/>
    <col min="4" max="4" width="18" customWidth="1"/>
    <col min="5" max="5" width="18.375" customWidth="1"/>
    <col min="6" max="6" width="16.75" customWidth="1"/>
    <col min="7" max="7" width="13.375" customWidth="1"/>
    <col min="8" max="8" width="23.75" customWidth="1"/>
    <col min="9" max="9" width="19.75" customWidth="1"/>
    <col min="10" max="26" width="10.625" customWidth="1"/>
  </cols>
  <sheetData>
    <row r="1" spans="1:8" ht="16.5" thickBot="1" x14ac:dyDescent="0.3">
      <c r="A1" s="28" t="s">
        <v>19</v>
      </c>
      <c r="B1" s="77" t="s">
        <v>0</v>
      </c>
      <c r="C1" s="77">
        <v>0</v>
      </c>
    </row>
    <row r="2" spans="1:8" ht="16.5" thickBot="1" x14ac:dyDescent="0.3">
      <c r="A2" s="28" t="s">
        <v>20</v>
      </c>
      <c r="B2" s="77" t="s">
        <v>5</v>
      </c>
      <c r="C2" s="77">
        <v>1.1000000000000001</v>
      </c>
      <c r="D2" s="27"/>
      <c r="E2" s="27"/>
      <c r="F2" s="27"/>
    </row>
    <row r="3" spans="1:8" ht="16.5" thickBot="1" x14ac:dyDescent="0.3">
      <c r="A3" s="31"/>
      <c r="B3" s="77" t="s">
        <v>2</v>
      </c>
      <c r="C3" s="77">
        <v>10</v>
      </c>
      <c r="D3" s="27"/>
      <c r="E3" s="27"/>
      <c r="F3" s="27"/>
    </row>
    <row r="4" spans="1:8" ht="16.5" thickBot="1" x14ac:dyDescent="0.3">
      <c r="A4" s="31"/>
      <c r="B4" s="79" t="s">
        <v>16</v>
      </c>
      <c r="C4" s="79">
        <v>9</v>
      </c>
      <c r="D4" s="38"/>
      <c r="E4" s="38"/>
    </row>
    <row r="5" spans="1:8" ht="16.5" thickBot="1" x14ac:dyDescent="0.3">
      <c r="B5" s="80" t="s">
        <v>3</v>
      </c>
      <c r="C5" s="32">
        <f>(C2-C1)/(C3)</f>
        <v>0.11000000000000001</v>
      </c>
      <c r="D5" s="81" t="s">
        <v>4</v>
      </c>
      <c r="E5" s="32">
        <f>(C2-C1)/(3*C3)</f>
        <v>3.6666666666666667E-2</v>
      </c>
    </row>
    <row r="6" spans="1:8" ht="16.5" thickBot="1" x14ac:dyDescent="0.3">
      <c r="A6" s="38"/>
      <c r="B6" s="38"/>
      <c r="C6" s="38"/>
      <c r="D6" s="90">
        <f>EXP(GAMMALN(5))</f>
        <v>24.000000000000004</v>
      </c>
      <c r="E6" s="38"/>
    </row>
    <row r="7" spans="1:8" ht="16.5" thickBot="1" x14ac:dyDescent="0.3">
      <c r="A7" s="84"/>
      <c r="B7" s="55" t="s">
        <v>28</v>
      </c>
      <c r="C7" s="55" t="s">
        <v>38</v>
      </c>
      <c r="D7" s="84"/>
      <c r="E7" s="84"/>
    </row>
    <row r="8" spans="1:8" ht="16.5" thickBot="1" x14ac:dyDescent="0.3">
      <c r="A8" s="56"/>
      <c r="B8" s="56"/>
      <c r="C8" s="87" t="s">
        <v>17</v>
      </c>
      <c r="D8" s="87" t="s">
        <v>18</v>
      </c>
      <c r="E8" s="93" t="s">
        <v>37</v>
      </c>
      <c r="F8" s="98" t="s">
        <v>40</v>
      </c>
      <c r="G8" s="99" t="s">
        <v>24</v>
      </c>
      <c r="H8" s="99" t="s">
        <v>36</v>
      </c>
    </row>
    <row r="9" spans="1:8" ht="16.5" thickBot="1" x14ac:dyDescent="0.3">
      <c r="A9" s="57">
        <v>0</v>
      </c>
      <c r="B9" s="91">
        <v>0</v>
      </c>
      <c r="C9" s="87">
        <f t="shared" ref="C9:C19" si="0">1+(B9^2/$C$4)</f>
        <v>1</v>
      </c>
      <c r="D9" s="87">
        <f t="shared" ref="D9:D19" si="1">C9^((($C$4+1)/2)*-1)</f>
        <v>1</v>
      </c>
      <c r="E9" s="94">
        <f t="shared" ref="E9:E19" si="2">EXP(GAMMALN(($C$4+1)/2))/( (($C$4*PI())^0.5)*EXP(GAMMALN(($C$4/2))) )</f>
        <v>0.38803490887166864</v>
      </c>
      <c r="F9" s="100">
        <f t="shared" ref="F9:F19" si="3">D9*E9</f>
        <v>0.38803490887166864</v>
      </c>
      <c r="G9" s="101">
        <v>1</v>
      </c>
      <c r="H9" s="102">
        <f t="shared" ref="H9:H19" si="4">F9*G9*$E$5</f>
        <v>1.422794665862785E-2</v>
      </c>
    </row>
    <row r="10" spans="1:8" ht="16.5" thickBot="1" x14ac:dyDescent="0.3">
      <c r="A10" s="57">
        <f t="shared" ref="A10:A19" si="5">A9+1</f>
        <v>1</v>
      </c>
      <c r="B10" s="92">
        <f t="shared" ref="B10:B19" si="6">B9+$C$5</f>
        <v>0.11000000000000001</v>
      </c>
      <c r="C10" s="87">
        <f t="shared" si="0"/>
        <v>1.0013444444444444</v>
      </c>
      <c r="D10" s="87">
        <f t="shared" si="1"/>
        <v>0.99330480591452186</v>
      </c>
      <c r="E10" s="94">
        <f t="shared" si="2"/>
        <v>0.38803490887166864</v>
      </c>
      <c r="F10" s="100">
        <f t="shared" si="3"/>
        <v>0.38543693984483202</v>
      </c>
      <c r="G10" s="103">
        <v>4</v>
      </c>
      <c r="H10" s="102">
        <f t="shared" si="4"/>
        <v>5.6530751177242031E-2</v>
      </c>
    </row>
    <row r="11" spans="1:8" ht="16.5" thickBot="1" x14ac:dyDescent="0.3">
      <c r="A11" s="57">
        <f t="shared" si="5"/>
        <v>2</v>
      </c>
      <c r="B11" s="92">
        <f t="shared" si="6"/>
        <v>0.22000000000000003</v>
      </c>
      <c r="C11" s="87">
        <f t="shared" si="0"/>
        <v>1.0053777777777777</v>
      </c>
      <c r="D11" s="87">
        <f t="shared" si="1"/>
        <v>0.97353953302484653</v>
      </c>
      <c r="E11" s="94">
        <f t="shared" si="2"/>
        <v>0.38803490887166864</v>
      </c>
      <c r="F11" s="100">
        <f t="shared" si="3"/>
        <v>0.37776732398026314</v>
      </c>
      <c r="G11" s="103">
        <v>2</v>
      </c>
      <c r="H11" s="102">
        <f t="shared" si="4"/>
        <v>2.7702937091885965E-2</v>
      </c>
    </row>
    <row r="12" spans="1:8" ht="16.5" thickBot="1" x14ac:dyDescent="0.3">
      <c r="A12" s="57">
        <f t="shared" si="5"/>
        <v>3</v>
      </c>
      <c r="B12" s="92">
        <f t="shared" si="6"/>
        <v>0.33000000000000007</v>
      </c>
      <c r="C12" s="87">
        <f t="shared" si="0"/>
        <v>1.0121</v>
      </c>
      <c r="D12" s="87">
        <f t="shared" si="1"/>
        <v>0.94163561384277394</v>
      </c>
      <c r="E12" s="94">
        <f t="shared" si="2"/>
        <v>0.38803490887166864</v>
      </c>
      <c r="F12" s="100">
        <f t="shared" si="3"/>
        <v>0.36538748960779854</v>
      </c>
      <c r="G12" s="103">
        <v>4</v>
      </c>
      <c r="H12" s="102">
        <f t="shared" si="4"/>
        <v>5.3590165142477122E-2</v>
      </c>
    </row>
    <row r="13" spans="1:8" ht="16.5" thickBot="1" x14ac:dyDescent="0.3">
      <c r="A13" s="57">
        <f t="shared" si="5"/>
        <v>4</v>
      </c>
      <c r="B13" s="92">
        <f t="shared" si="6"/>
        <v>0.44000000000000006</v>
      </c>
      <c r="C13" s="87">
        <f t="shared" si="0"/>
        <v>1.021511111111111</v>
      </c>
      <c r="D13" s="87">
        <f t="shared" si="1"/>
        <v>0.89905140824732865</v>
      </c>
      <c r="E13" s="94">
        <f t="shared" si="2"/>
        <v>0.38803490887166864</v>
      </c>
      <c r="F13" s="100">
        <f t="shared" si="3"/>
        <v>0.34886333127019753</v>
      </c>
      <c r="G13" s="103">
        <v>2</v>
      </c>
      <c r="H13" s="102">
        <f t="shared" si="4"/>
        <v>2.5583310959814486E-2</v>
      </c>
    </row>
    <row r="14" spans="1:8" ht="16.5" thickBot="1" x14ac:dyDescent="0.3">
      <c r="A14" s="57">
        <f t="shared" si="5"/>
        <v>5</v>
      </c>
      <c r="B14" s="92">
        <f t="shared" si="6"/>
        <v>0.55000000000000004</v>
      </c>
      <c r="C14" s="87">
        <f t="shared" si="0"/>
        <v>1.033611111111111</v>
      </c>
      <c r="D14" s="87">
        <f t="shared" si="1"/>
        <v>0.84764529108513276</v>
      </c>
      <c r="E14" s="94">
        <f t="shared" si="2"/>
        <v>0.38803490887166864</v>
      </c>
      <c r="F14" s="100">
        <f t="shared" si="3"/>
        <v>0.32891596328171852</v>
      </c>
      <c r="G14" s="103">
        <v>4</v>
      </c>
      <c r="H14" s="102">
        <f t="shared" si="4"/>
        <v>4.824100794798538E-2</v>
      </c>
    </row>
    <row r="15" spans="1:8" ht="16.5" thickBot="1" x14ac:dyDescent="0.3">
      <c r="A15" s="57">
        <f t="shared" si="5"/>
        <v>6</v>
      </c>
      <c r="B15" s="92">
        <f t="shared" si="6"/>
        <v>0.66</v>
      </c>
      <c r="C15" s="87">
        <f t="shared" si="0"/>
        <v>1.0484</v>
      </c>
      <c r="D15" s="87">
        <f t="shared" si="1"/>
        <v>0.78952327713284876</v>
      </c>
      <c r="E15" s="94">
        <f t="shared" si="2"/>
        <v>0.38803490887166864</v>
      </c>
      <c r="F15" s="100">
        <f t="shared" si="3"/>
        <v>0.30636259289430617</v>
      </c>
      <c r="G15" s="103">
        <v>2</v>
      </c>
      <c r="H15" s="102">
        <f t="shared" si="4"/>
        <v>2.2466590145582454E-2</v>
      </c>
    </row>
    <row r="16" spans="1:8" ht="16.5" thickBot="1" x14ac:dyDescent="0.3">
      <c r="A16" s="57">
        <f t="shared" si="5"/>
        <v>7</v>
      </c>
      <c r="B16" s="92">
        <f t="shared" si="6"/>
        <v>0.77</v>
      </c>
      <c r="C16" s="87">
        <f t="shared" si="0"/>
        <v>1.0658777777777777</v>
      </c>
      <c r="D16" s="87">
        <f t="shared" si="1"/>
        <v>0.7268804042058904</v>
      </c>
      <c r="E16" s="94">
        <f t="shared" si="2"/>
        <v>0.38803490887166864</v>
      </c>
      <c r="F16" s="100">
        <f t="shared" si="3"/>
        <v>0.28205497140663432</v>
      </c>
      <c r="G16" s="103">
        <v>4</v>
      </c>
      <c r="H16" s="102">
        <f t="shared" si="4"/>
        <v>4.1368062472973033E-2</v>
      </c>
    </row>
    <row r="17" spans="1:9" ht="16.5" thickBot="1" x14ac:dyDescent="0.3">
      <c r="A17" s="57">
        <f t="shared" si="5"/>
        <v>8</v>
      </c>
      <c r="B17" s="92">
        <f t="shared" si="6"/>
        <v>0.88</v>
      </c>
      <c r="C17" s="87">
        <f t="shared" si="0"/>
        <v>1.0860444444444444</v>
      </c>
      <c r="D17" s="87">
        <f t="shared" si="1"/>
        <v>0.66185371096141032</v>
      </c>
      <c r="E17" s="94">
        <f t="shared" si="2"/>
        <v>0.38803490887166864</v>
      </c>
      <c r="F17" s="100">
        <f t="shared" si="3"/>
        <v>0.25682234441928659</v>
      </c>
      <c r="G17" s="103">
        <v>2</v>
      </c>
      <c r="H17" s="102">
        <f t="shared" si="4"/>
        <v>1.8833638590747683E-2</v>
      </c>
    </row>
    <row r="18" spans="1:9" ht="16.5" thickBot="1" x14ac:dyDescent="0.3">
      <c r="A18" s="57">
        <f t="shared" si="5"/>
        <v>9</v>
      </c>
      <c r="B18" s="92">
        <f t="shared" si="6"/>
        <v>0.99</v>
      </c>
      <c r="C18" s="87">
        <f t="shared" si="0"/>
        <v>1.1089</v>
      </c>
      <c r="D18" s="87">
        <f t="shared" si="1"/>
        <v>0.59640061501180708</v>
      </c>
      <c r="E18" s="94">
        <f t="shared" si="2"/>
        <v>0.38803490887166864</v>
      </c>
      <c r="F18" s="100">
        <f t="shared" si="3"/>
        <v>0.23142425829711369</v>
      </c>
      <c r="G18" s="103">
        <v>4</v>
      </c>
      <c r="H18" s="102">
        <f t="shared" si="4"/>
        <v>3.3942224550243344E-2</v>
      </c>
    </row>
    <row r="19" spans="1:9" ht="16.5" thickBot="1" x14ac:dyDescent="0.3">
      <c r="A19" s="57">
        <f t="shared" si="5"/>
        <v>10</v>
      </c>
      <c r="B19" s="91">
        <f t="shared" si="6"/>
        <v>1.1000000000000001</v>
      </c>
      <c r="C19" s="87">
        <f t="shared" si="0"/>
        <v>1.1344444444444446</v>
      </c>
      <c r="D19" s="87">
        <f t="shared" si="1"/>
        <v>0.53221098804064126</v>
      </c>
      <c r="E19" s="94">
        <f t="shared" si="2"/>
        <v>0.38803490887166864</v>
      </c>
      <c r="F19" s="100">
        <f t="shared" si="3"/>
        <v>0.20651644224485097</v>
      </c>
      <c r="G19" s="101">
        <v>1</v>
      </c>
      <c r="H19" s="102">
        <f t="shared" si="4"/>
        <v>7.5722695489778688E-3</v>
      </c>
    </row>
    <row r="20" spans="1:9" ht="15" customHeight="1" thickBot="1" x14ac:dyDescent="0.3"/>
    <row r="21" spans="1:9" ht="15.75" customHeight="1" thickBot="1" x14ac:dyDescent="0.3">
      <c r="B21" s="88" t="s">
        <v>23</v>
      </c>
      <c r="C21" s="89">
        <f t="shared" ref="C21:D21" si="7">SUM(C9:C19)</f>
        <v>11.517611111111112</v>
      </c>
      <c r="D21" s="86">
        <f t="shared" si="7"/>
        <v>8.9620456474672014</v>
      </c>
      <c r="G21" s="15" t="s">
        <v>23</v>
      </c>
      <c r="H21" s="21">
        <f>SUM(H9:H19)</f>
        <v>0.35005890428655723</v>
      </c>
    </row>
    <row r="22" spans="1:9" ht="15.75" customHeight="1" x14ac:dyDescent="0.25">
      <c r="G22" s="1" t="s">
        <v>8</v>
      </c>
      <c r="H22" s="1" t="s">
        <v>8</v>
      </c>
    </row>
    <row r="23" spans="1:9" ht="15.75" customHeight="1" thickBot="1" x14ac:dyDescent="0.3"/>
    <row r="24" spans="1:9" ht="15.75" customHeight="1" thickBot="1" x14ac:dyDescent="0.3">
      <c r="G24" s="104" t="s">
        <v>15</v>
      </c>
      <c r="H24" s="105">
        <v>1.0000000000000001E-5</v>
      </c>
      <c r="I24" s="75"/>
    </row>
    <row r="25" spans="1:9" ht="15.75" customHeight="1" thickBot="1" x14ac:dyDescent="0.3">
      <c r="G25" s="104" t="s">
        <v>41</v>
      </c>
      <c r="H25" s="105">
        <f>H21</f>
        <v>0.35005890428655723</v>
      </c>
      <c r="I25" s="106">
        <f>ABS(H26-H25)</f>
        <v>7.4038856179998169E-3</v>
      </c>
    </row>
    <row r="26" spans="1:9" ht="15.75" customHeight="1" thickBot="1" x14ac:dyDescent="0.3">
      <c r="G26" s="104" t="s">
        <v>42</v>
      </c>
      <c r="H26" s="105">
        <f>H58</f>
        <v>0.35746278990455704</v>
      </c>
      <c r="I26" s="75"/>
    </row>
    <row r="27" spans="1:9" ht="15.75" customHeight="1" thickBot="1" x14ac:dyDescent="0.3">
      <c r="H27" s="1" t="s">
        <v>8</v>
      </c>
    </row>
    <row r="28" spans="1:9" ht="15.75" customHeight="1" thickBot="1" x14ac:dyDescent="0.3">
      <c r="A28" s="28" t="s">
        <v>19</v>
      </c>
      <c r="B28" s="29" t="s">
        <v>0</v>
      </c>
      <c r="C28" s="29">
        <v>0</v>
      </c>
    </row>
    <row r="29" spans="1:9" ht="15.75" customHeight="1" thickBot="1" x14ac:dyDescent="0.3">
      <c r="A29" s="28" t="s">
        <v>20</v>
      </c>
      <c r="B29" s="30" t="s">
        <v>5</v>
      </c>
      <c r="C29" s="30">
        <v>1.1000000000000001</v>
      </c>
      <c r="D29" s="76"/>
      <c r="E29" s="76"/>
      <c r="F29" s="76"/>
    </row>
    <row r="30" spans="1:9" ht="15.75" customHeight="1" thickBot="1" x14ac:dyDescent="0.3">
      <c r="A30" s="31"/>
      <c r="B30" s="30" t="s">
        <v>2</v>
      </c>
      <c r="C30" s="30">
        <v>20</v>
      </c>
      <c r="D30" s="76"/>
      <c r="E30" s="76"/>
      <c r="F30" s="76"/>
    </row>
    <row r="31" spans="1:9" ht="15.75" customHeight="1" thickBot="1" x14ac:dyDescent="0.3">
      <c r="A31" s="31"/>
      <c r="B31" s="107" t="s">
        <v>16</v>
      </c>
      <c r="C31" s="107">
        <v>19</v>
      </c>
      <c r="D31" s="38"/>
      <c r="E31" s="38"/>
    </row>
    <row r="32" spans="1:9" ht="15.75" customHeight="1" thickBot="1" x14ac:dyDescent="0.3">
      <c r="B32" s="10" t="s">
        <v>3</v>
      </c>
      <c r="C32" s="32">
        <f>(C29-C28)/(C30)</f>
        <v>5.5000000000000007E-2</v>
      </c>
      <c r="D32" s="78" t="s">
        <v>4</v>
      </c>
      <c r="E32" s="32">
        <f>(C29-C28)/(3*C30)</f>
        <v>1.8333333333333333E-2</v>
      </c>
    </row>
    <row r="33" spans="1:8" ht="15.75" customHeight="1" thickBot="1" x14ac:dyDescent="0.3">
      <c r="A33" s="38"/>
      <c r="B33" s="38"/>
      <c r="C33" s="82"/>
      <c r="D33" s="83">
        <f>EXP(GAMMALN(5))</f>
        <v>24.000000000000004</v>
      </c>
      <c r="E33" s="38"/>
    </row>
    <row r="34" spans="1:8" ht="15.75" customHeight="1" thickBot="1" x14ac:dyDescent="0.3">
      <c r="A34" s="84"/>
      <c r="B34" s="55" t="s">
        <v>39</v>
      </c>
      <c r="C34" s="55" t="s">
        <v>38</v>
      </c>
      <c r="D34" s="55"/>
      <c r="E34" s="55"/>
      <c r="F34" s="7"/>
      <c r="G34" s="7"/>
      <c r="H34" s="7"/>
    </row>
    <row r="35" spans="1:8" ht="15.75" customHeight="1" thickBot="1" x14ac:dyDescent="0.3">
      <c r="A35" s="56"/>
      <c r="B35" s="58"/>
      <c r="C35" s="85" t="s">
        <v>17</v>
      </c>
      <c r="D35" s="85" t="s">
        <v>18</v>
      </c>
      <c r="E35" s="93" t="s">
        <v>37</v>
      </c>
      <c r="F35" s="95" t="s">
        <v>40</v>
      </c>
      <c r="G35" s="96" t="s">
        <v>24</v>
      </c>
      <c r="H35" s="96" t="s">
        <v>36</v>
      </c>
    </row>
    <row r="36" spans="1:8" ht="15.75" customHeight="1" thickBot="1" x14ac:dyDescent="0.3">
      <c r="A36" s="57">
        <v>0</v>
      </c>
      <c r="B36" s="57">
        <v>0</v>
      </c>
      <c r="C36" s="87">
        <f t="shared" ref="C36:C56" si="8">1+(B36^2/$C$31)</f>
        <v>1</v>
      </c>
      <c r="D36" s="87">
        <f t="shared" ref="D36:D56" si="9">C36^((($C$31+1)/2)*-1)</f>
        <v>1</v>
      </c>
      <c r="E36" s="94">
        <f t="shared" ref="E36:E56" si="10">EXP(GAMMALN(($C$31+1)/2))/( (($C$31*PI())^0.5)*EXP(GAMMALN(($C$31/2))) )</f>
        <v>0.39372980729260415</v>
      </c>
      <c r="F36" s="97">
        <f t="shared" ref="F36:F56" si="11">D36*E36</f>
        <v>0.39372980729260415</v>
      </c>
      <c r="G36" s="64">
        <v>1</v>
      </c>
      <c r="H36" s="18">
        <f t="shared" ref="H36:H56" si="12">F36*G36*$E$32</f>
        <v>7.2183798003644098E-3</v>
      </c>
    </row>
    <row r="37" spans="1:8" ht="15.75" customHeight="1" thickBot="1" x14ac:dyDescent="0.3">
      <c r="A37" s="57">
        <f t="shared" ref="A37:A56" si="13">A36+1</f>
        <v>1</v>
      </c>
      <c r="B37" s="57">
        <f t="shared" ref="B37:B56" si="14">B36+$C$32</f>
        <v>5.5000000000000007E-2</v>
      </c>
      <c r="C37" s="87">
        <f t="shared" si="8"/>
        <v>1.0001592105263157</v>
      </c>
      <c r="D37" s="87">
        <f t="shared" si="9"/>
        <v>0.99840928798899786</v>
      </c>
      <c r="E37" s="94">
        <f t="shared" si="10"/>
        <v>0.39372980729260415</v>
      </c>
      <c r="F37" s="97">
        <f t="shared" si="11"/>
        <v>0.39310349655905424</v>
      </c>
      <c r="G37" s="66">
        <v>4</v>
      </c>
      <c r="H37" s="18">
        <f t="shared" si="12"/>
        <v>2.8827589747663977E-2</v>
      </c>
    </row>
    <row r="38" spans="1:8" ht="15.75" customHeight="1" thickBot="1" x14ac:dyDescent="0.3">
      <c r="A38" s="57">
        <f t="shared" si="13"/>
        <v>2</v>
      </c>
      <c r="B38" s="57">
        <f t="shared" si="14"/>
        <v>0.11000000000000001</v>
      </c>
      <c r="C38" s="87">
        <f t="shared" si="8"/>
        <v>1.0006368421052632</v>
      </c>
      <c r="D38" s="87">
        <f t="shared" si="9"/>
        <v>0.99365382847526007</v>
      </c>
      <c r="E38" s="94">
        <f t="shared" si="10"/>
        <v>0.39372980729260415</v>
      </c>
      <c r="F38" s="97">
        <f t="shared" si="11"/>
        <v>0.39123113040112251</v>
      </c>
      <c r="G38" s="66">
        <v>2</v>
      </c>
      <c r="H38" s="18">
        <f t="shared" si="12"/>
        <v>1.4345141448041158E-2</v>
      </c>
    </row>
    <row r="39" spans="1:8" ht="15.75" customHeight="1" thickBot="1" x14ac:dyDescent="0.3">
      <c r="A39" s="57">
        <f t="shared" si="13"/>
        <v>3</v>
      </c>
      <c r="B39" s="57">
        <f t="shared" si="14"/>
        <v>0.16500000000000004</v>
      </c>
      <c r="C39" s="87">
        <f t="shared" si="8"/>
        <v>1.001432894736842</v>
      </c>
      <c r="D39" s="87">
        <f t="shared" si="9"/>
        <v>0.98578333369635696</v>
      </c>
      <c r="E39" s="94">
        <f t="shared" si="10"/>
        <v>0.39372980729260415</v>
      </c>
      <c r="F39" s="97">
        <f t="shared" si="11"/>
        <v>0.38813228200852751</v>
      </c>
      <c r="G39" s="66">
        <v>4</v>
      </c>
      <c r="H39" s="18">
        <f t="shared" si="12"/>
        <v>2.8463034013958683E-2</v>
      </c>
    </row>
    <row r="40" spans="1:8" ht="15.75" customHeight="1" thickBot="1" x14ac:dyDescent="0.3">
      <c r="A40" s="57">
        <f t="shared" si="13"/>
        <v>4</v>
      </c>
      <c r="B40" s="57">
        <f t="shared" si="14"/>
        <v>0.22000000000000003</v>
      </c>
      <c r="C40" s="87">
        <f t="shared" si="8"/>
        <v>1.0025473684210526</v>
      </c>
      <c r="D40" s="87">
        <f t="shared" si="9"/>
        <v>0.97487960878613289</v>
      </c>
      <c r="E40" s="94">
        <f t="shared" si="10"/>
        <v>0.39372980729260415</v>
      </c>
      <c r="F40" s="97">
        <f t="shared" si="11"/>
        <v>0.38383916050085343</v>
      </c>
      <c r="G40" s="66">
        <v>2</v>
      </c>
      <c r="H40" s="18">
        <f t="shared" si="12"/>
        <v>1.407410255169796E-2</v>
      </c>
    </row>
    <row r="41" spans="1:8" ht="15.75" customHeight="1" thickBot="1" x14ac:dyDescent="0.3">
      <c r="A41" s="57">
        <f t="shared" si="13"/>
        <v>5</v>
      </c>
      <c r="B41" s="57">
        <f t="shared" si="14"/>
        <v>0.27500000000000002</v>
      </c>
      <c r="C41" s="87">
        <f t="shared" si="8"/>
        <v>1.0039802631578947</v>
      </c>
      <c r="D41" s="87">
        <f t="shared" si="9"/>
        <v>0.96105501050351194</v>
      </c>
      <c r="E41" s="94">
        <f t="shared" si="10"/>
        <v>0.39372980729260415</v>
      </c>
      <c r="F41" s="97">
        <f t="shared" si="11"/>
        <v>0.37839600408313939</v>
      </c>
      <c r="G41" s="66">
        <v>4</v>
      </c>
      <c r="H41" s="18">
        <f t="shared" si="12"/>
        <v>2.7749040299430223E-2</v>
      </c>
    </row>
    <row r="42" spans="1:8" ht="15.75" customHeight="1" thickBot="1" x14ac:dyDescent="0.3">
      <c r="A42" s="57">
        <f t="shared" si="13"/>
        <v>6</v>
      </c>
      <c r="B42" s="57">
        <f t="shared" si="14"/>
        <v>0.33</v>
      </c>
      <c r="C42" s="87">
        <f t="shared" si="8"/>
        <v>1.0057315789473684</v>
      </c>
      <c r="D42" s="87">
        <f t="shared" si="9"/>
        <v>0.94445035140675748</v>
      </c>
      <c r="E42" s="94">
        <f t="shared" si="10"/>
        <v>0.39372980729260415</v>
      </c>
      <c r="F42" s="97">
        <f t="shared" si="11"/>
        <v>0.3718582548568149</v>
      </c>
      <c r="G42" s="66">
        <v>2</v>
      </c>
      <c r="H42" s="18">
        <f t="shared" si="12"/>
        <v>1.3634802678083213E-2</v>
      </c>
    </row>
    <row r="43" spans="1:8" ht="15.75" customHeight="1" thickBot="1" x14ac:dyDescent="0.3">
      <c r="A43" s="57">
        <f t="shared" si="13"/>
        <v>7</v>
      </c>
      <c r="B43" s="57">
        <f t="shared" si="14"/>
        <v>0.38500000000000001</v>
      </c>
      <c r="C43" s="87">
        <f t="shared" si="8"/>
        <v>1.0078013157894736</v>
      </c>
      <c r="D43" s="87">
        <f t="shared" si="9"/>
        <v>0.92523230848544891</v>
      </c>
      <c r="E43" s="94">
        <f t="shared" si="10"/>
        <v>0.39372980729260415</v>
      </c>
      <c r="F43" s="97">
        <f t="shared" si="11"/>
        <v>0.3642915385208671</v>
      </c>
      <c r="G43" s="66">
        <v>4</v>
      </c>
      <c r="H43" s="18">
        <f t="shared" si="12"/>
        <v>2.6714712824863589E-2</v>
      </c>
    </row>
    <row r="44" spans="1:8" ht="15.75" customHeight="1" thickBot="1" x14ac:dyDescent="0.3">
      <c r="A44" s="57">
        <f t="shared" si="13"/>
        <v>8</v>
      </c>
      <c r="B44" s="57">
        <f t="shared" si="14"/>
        <v>0.44</v>
      </c>
      <c r="C44" s="87">
        <f t="shared" si="8"/>
        <v>1.0101894736842105</v>
      </c>
      <c r="D44" s="87">
        <f t="shared" si="9"/>
        <v>0.90359040809087077</v>
      </c>
      <c r="E44" s="94">
        <f t="shared" si="10"/>
        <v>0.39372980729260415</v>
      </c>
      <c r="F44" s="97">
        <f t="shared" si="11"/>
        <v>0.35577047724906408</v>
      </c>
      <c r="G44" s="66">
        <v>2</v>
      </c>
      <c r="H44" s="18">
        <f t="shared" si="12"/>
        <v>1.304491749913235E-2</v>
      </c>
    </row>
    <row r="45" spans="1:8" ht="15.75" customHeight="1" thickBot="1" x14ac:dyDescent="0.3">
      <c r="A45" s="57">
        <f t="shared" si="13"/>
        <v>9</v>
      </c>
      <c r="B45" s="57">
        <f t="shared" si="14"/>
        <v>0.495</v>
      </c>
      <c r="C45" s="87">
        <f t="shared" si="8"/>
        <v>1.0128960526315789</v>
      </c>
      <c r="D45" s="87">
        <f t="shared" si="9"/>
        <v>0.87973366909638917</v>
      </c>
      <c r="E45" s="94">
        <f t="shared" si="10"/>
        <v>0.39372980729260415</v>
      </c>
      <c r="F45" s="97">
        <f t="shared" si="11"/>
        <v>0.34637736800213692</v>
      </c>
      <c r="G45" s="66">
        <v>4</v>
      </c>
      <c r="H45" s="18">
        <f t="shared" si="12"/>
        <v>2.5401006986823373E-2</v>
      </c>
    </row>
    <row r="46" spans="1:8" ht="15.75" customHeight="1" thickBot="1" x14ac:dyDescent="0.3">
      <c r="A46" s="57">
        <f t="shared" si="13"/>
        <v>10</v>
      </c>
      <c r="B46" s="57">
        <f t="shared" si="14"/>
        <v>0.55000000000000004</v>
      </c>
      <c r="C46" s="87">
        <f t="shared" si="8"/>
        <v>1.0159210526315789</v>
      </c>
      <c r="D46" s="87">
        <f t="shared" si="9"/>
        <v>0.85388699325913409</v>
      </c>
      <c r="E46" s="94">
        <f t="shared" si="10"/>
        <v>0.39372980729260415</v>
      </c>
      <c r="F46" s="97">
        <f t="shared" si="11"/>
        <v>0.33620076130558002</v>
      </c>
      <c r="G46" s="66">
        <v>2</v>
      </c>
      <c r="H46" s="18">
        <f t="shared" si="12"/>
        <v>1.2327361247871267E-2</v>
      </c>
    </row>
    <row r="47" spans="1:8" ht="15.75" customHeight="1" thickBot="1" x14ac:dyDescent="0.3">
      <c r="A47" s="57">
        <f t="shared" si="13"/>
        <v>11</v>
      </c>
      <c r="B47" s="57">
        <f t="shared" si="14"/>
        <v>0.60500000000000009</v>
      </c>
      <c r="C47" s="87">
        <f t="shared" si="8"/>
        <v>1.0192644736842105</v>
      </c>
      <c r="D47" s="87">
        <f t="shared" si="9"/>
        <v>0.82628739557711184</v>
      </c>
      <c r="E47" s="94">
        <f t="shared" si="10"/>
        <v>0.39372980729260415</v>
      </c>
      <c r="F47" s="97">
        <f t="shared" si="11"/>
        <v>0.325333977028884</v>
      </c>
      <c r="G47" s="66">
        <v>4</v>
      </c>
      <c r="H47" s="18">
        <f t="shared" si="12"/>
        <v>2.3857824982118161E-2</v>
      </c>
    </row>
    <row r="48" spans="1:8" ht="15.75" customHeight="1" thickBot="1" x14ac:dyDescent="0.3">
      <c r="A48" s="57">
        <f t="shared" si="13"/>
        <v>12</v>
      </c>
      <c r="B48" s="57">
        <f t="shared" si="14"/>
        <v>0.66000000000000014</v>
      </c>
      <c r="C48" s="87">
        <f t="shared" si="8"/>
        <v>1.0229263157894737</v>
      </c>
      <c r="D48" s="87">
        <f t="shared" si="9"/>
        <v>0.79718016802520053</v>
      </c>
      <c r="E48" s="94">
        <f t="shared" si="10"/>
        <v>0.39372980729260415</v>
      </c>
      <c r="F48" s="97">
        <f t="shared" si="11"/>
        <v>0.31387359393404801</v>
      </c>
      <c r="G48" s="66">
        <v>2</v>
      </c>
      <c r="H48" s="18">
        <f t="shared" si="12"/>
        <v>1.1508698444248427E-2</v>
      </c>
    </row>
    <row r="49" spans="1:8" ht="15.75" customHeight="1" thickBot="1" x14ac:dyDescent="0.3">
      <c r="A49" s="57">
        <f t="shared" si="13"/>
        <v>13</v>
      </c>
      <c r="B49" s="57">
        <f t="shared" si="14"/>
        <v>0.71500000000000019</v>
      </c>
      <c r="C49" s="87">
        <f t="shared" si="8"/>
        <v>1.0269065789473684</v>
      </c>
      <c r="D49" s="87">
        <f t="shared" si="9"/>
        <v>0.76681506753725848</v>
      </c>
      <c r="E49" s="94">
        <f t="shared" si="10"/>
        <v>0.39372980729260415</v>
      </c>
      <c r="F49" s="97">
        <f t="shared" si="11"/>
        <v>0.30191794877051004</v>
      </c>
      <c r="G49" s="66">
        <v>4</v>
      </c>
      <c r="H49" s="18">
        <f t="shared" si="12"/>
        <v>2.2140649576504069E-2</v>
      </c>
    </row>
    <row r="50" spans="1:8" ht="15.75" customHeight="1" thickBot="1" x14ac:dyDescent="0.3">
      <c r="A50" s="57">
        <f t="shared" si="13"/>
        <v>14</v>
      </c>
      <c r="B50" s="57">
        <f t="shared" si="14"/>
        <v>0.77000000000000024</v>
      </c>
      <c r="C50" s="87">
        <f t="shared" si="8"/>
        <v>1.0312052631578947</v>
      </c>
      <c r="D50" s="87">
        <f t="shared" si="9"/>
        <v>0.7354426137372535</v>
      </c>
      <c r="E50" s="94">
        <f t="shared" si="10"/>
        <v>0.39372980729260415</v>
      </c>
      <c r="F50" s="97">
        <f t="shared" si="11"/>
        <v>0.28956567858153792</v>
      </c>
      <c r="G50" s="66">
        <v>2</v>
      </c>
      <c r="H50" s="18">
        <f t="shared" si="12"/>
        <v>1.061740821465639E-2</v>
      </c>
    </row>
    <row r="51" spans="1:8" ht="15.75" customHeight="1" thickBot="1" x14ac:dyDescent="0.3">
      <c r="A51" s="57">
        <f t="shared" si="13"/>
        <v>15</v>
      </c>
      <c r="B51" s="57">
        <f t="shared" si="14"/>
        <v>0.82500000000000029</v>
      </c>
      <c r="C51" s="87">
        <f t="shared" si="8"/>
        <v>1.0358223684210526</v>
      </c>
      <c r="D51" s="87">
        <f t="shared" si="9"/>
        <v>0.70331057407786912</v>
      </c>
      <c r="E51" s="94">
        <f t="shared" si="10"/>
        <v>0.39372980729260415</v>
      </c>
      <c r="F51" s="97">
        <f t="shared" si="11"/>
        <v>0.27691433679853023</v>
      </c>
      <c r="G51" s="66">
        <v>4</v>
      </c>
      <c r="H51" s="18">
        <f t="shared" si="12"/>
        <v>2.0307051365225551E-2</v>
      </c>
    </row>
    <row r="52" spans="1:8" ht="15.75" customHeight="1" thickBot="1" x14ac:dyDescent="0.3">
      <c r="A52" s="57">
        <f t="shared" si="13"/>
        <v>16</v>
      </c>
      <c r="B52" s="57">
        <f t="shared" si="14"/>
        <v>0.88000000000000034</v>
      </c>
      <c r="C52" s="87">
        <f t="shared" si="8"/>
        <v>1.0407578947368421</v>
      </c>
      <c r="D52" s="87">
        <f t="shared" si="9"/>
        <v>0.67066070417253909</v>
      </c>
      <c r="E52" s="94">
        <f t="shared" si="10"/>
        <v>0.39372980729260415</v>
      </c>
      <c r="F52" s="97">
        <f t="shared" si="11"/>
        <v>0.26405910981257602</v>
      </c>
      <c r="G52" s="66">
        <v>2</v>
      </c>
      <c r="H52" s="18">
        <f t="shared" si="12"/>
        <v>9.6821673597944549E-3</v>
      </c>
    </row>
    <row r="53" spans="1:8" ht="15.75" customHeight="1" thickBot="1" x14ac:dyDescent="0.3">
      <c r="A53" s="57">
        <f t="shared" si="13"/>
        <v>17</v>
      </c>
      <c r="B53" s="57">
        <f t="shared" si="14"/>
        <v>0.93500000000000039</v>
      </c>
      <c r="C53" s="87">
        <f t="shared" si="8"/>
        <v>1.0460118421052631</v>
      </c>
      <c r="D53" s="87">
        <f t="shared" si="9"/>
        <v>0.6377257997154846</v>
      </c>
      <c r="E53" s="94">
        <f t="shared" si="10"/>
        <v>0.39372980729260415</v>
      </c>
      <c r="F53" s="97">
        <f t="shared" si="11"/>
        <v>0.25109165622749963</v>
      </c>
      <c r="G53" s="66">
        <v>4</v>
      </c>
      <c r="H53" s="18">
        <f t="shared" si="12"/>
        <v>1.8413388123349972E-2</v>
      </c>
    </row>
    <row r="54" spans="1:8" ht="15.75" customHeight="1" thickBot="1" x14ac:dyDescent="0.3">
      <c r="A54" s="57">
        <f t="shared" si="13"/>
        <v>18</v>
      </c>
      <c r="B54" s="57">
        <f t="shared" si="14"/>
        <v>0.99000000000000044</v>
      </c>
      <c r="C54" s="87">
        <f t="shared" si="8"/>
        <v>1.0515842105263158</v>
      </c>
      <c r="D54" s="87">
        <f t="shared" si="9"/>
        <v>0.60472710401033358</v>
      </c>
      <c r="E54" s="94">
        <f t="shared" si="10"/>
        <v>0.39372980729260415</v>
      </c>
      <c r="F54" s="97">
        <f t="shared" si="11"/>
        <v>0.23809908612660322</v>
      </c>
      <c r="G54" s="66">
        <v>2</v>
      </c>
      <c r="H54" s="18">
        <f t="shared" si="12"/>
        <v>8.7302998246421171E-3</v>
      </c>
    </row>
    <row r="55" spans="1:8" ht="15.75" customHeight="1" thickBot="1" x14ac:dyDescent="0.3">
      <c r="A55" s="57">
        <f t="shared" si="13"/>
        <v>19</v>
      </c>
      <c r="B55" s="57">
        <f t="shared" si="14"/>
        <v>1.0450000000000004</v>
      </c>
      <c r="C55" s="87">
        <f t="shared" si="8"/>
        <v>1.0574749999999999</v>
      </c>
      <c r="D55" s="87">
        <f t="shared" si="9"/>
        <v>0.57187210230712349</v>
      </c>
      <c r="E55" s="94">
        <f t="shared" si="10"/>
        <v>0.39372980729260415</v>
      </c>
      <c r="F55" s="97">
        <f t="shared" si="11"/>
        <v>0.22516309263740014</v>
      </c>
      <c r="G55" s="66">
        <v>4</v>
      </c>
      <c r="H55" s="18">
        <f t="shared" si="12"/>
        <v>1.6511960126742678E-2</v>
      </c>
    </row>
    <row r="56" spans="1:8" ht="15.75" customHeight="1" thickBot="1" x14ac:dyDescent="0.3">
      <c r="A56" s="57">
        <f t="shared" si="13"/>
        <v>20</v>
      </c>
      <c r="B56" s="57">
        <f t="shared" si="14"/>
        <v>1.1000000000000003</v>
      </c>
      <c r="C56" s="87">
        <f t="shared" si="8"/>
        <v>1.0636842105263158</v>
      </c>
      <c r="D56" s="87">
        <f t="shared" si="9"/>
        <v>0.53935272138887624</v>
      </c>
      <c r="E56" s="94">
        <f t="shared" si="10"/>
        <v>0.39372980729260415</v>
      </c>
      <c r="F56" s="97">
        <f t="shared" si="11"/>
        <v>0.21235924305518386</v>
      </c>
      <c r="G56" s="66">
        <v>1</v>
      </c>
      <c r="H56" s="18">
        <f t="shared" si="12"/>
        <v>3.8932527893450375E-3</v>
      </c>
    </row>
    <row r="57" spans="1:8" ht="15.75" customHeight="1" thickBot="1" x14ac:dyDescent="0.3"/>
    <row r="58" spans="1:8" ht="15.75" customHeight="1" thickBot="1" x14ac:dyDescent="0.3">
      <c r="B58" s="88" t="s">
        <v>23</v>
      </c>
      <c r="C58" s="89">
        <f t="shared" ref="C58:D58" si="15">SUM(C36:C56)</f>
        <v>21.456934210526313</v>
      </c>
      <c r="D58" s="86">
        <f t="shared" si="15"/>
        <v>17.274049050337908</v>
      </c>
      <c r="G58" s="15" t="s">
        <v>23</v>
      </c>
      <c r="H58" s="21">
        <f>SUM(H36:H56)</f>
        <v>0.35746278990455704</v>
      </c>
    </row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TRIANGULO</vt:lpstr>
      <vt:lpstr>X^2</vt:lpstr>
      <vt:lpstr>1 ENTRE X</vt:lpstr>
      <vt:lpstr>t-student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ROLDAN VIVANCO DIEGO NOE</cp:lastModifiedBy>
  <dcterms:created xsi:type="dcterms:W3CDTF">2020-05-16T23:21:23Z</dcterms:created>
  <dcterms:modified xsi:type="dcterms:W3CDTF">2025-11-28T22:14:32Z</dcterms:modified>
</cp:coreProperties>
</file>